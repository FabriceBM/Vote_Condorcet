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Concepts to bibliography" sheetId="2" state="visible" r:id="rId4"/>
    <sheet name="Bibliography to concepts" sheetId="3" state="visible" r:id="rId5"/>
    <sheet name="Matrix" sheetId="4" state="visible" r:id="rId6"/>
  </sheets>
  <definedNames>
    <definedName function="false" hidden="false" localSheetId="0" name="_xlnm.Print_Titles" vbProcedure="false">About!$1:$1</definedName>
    <definedName function="false" hidden="false" localSheetId="2" name="_xlnm.Print_Titles" vbProcedure="false">'Bibliography to concepts'!$1:$1</definedName>
    <definedName function="false" hidden="true" localSheetId="2" name="_xlnm._FilterDatabase" vbProcedure="false">'Bibliography to concepts'!$A$1:$I$99</definedName>
    <definedName function="false" hidden="false" localSheetId="1" name="_xlnm.Print_Titles" vbProcedure="false">'Concepts to bibliography'!$1:$1</definedName>
    <definedName function="false" hidden="true" localSheetId="1" name="_xlnm._FilterDatabase" vbProcedure="false">'Concepts to bibliography'!$A$1:$F$36</definedName>
    <definedName function="false" hidden="false" localSheetId="3" name="_xlnm.Print_Titles" vbProcedure="false">Matrix!$1:$2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<sst xmlns="http://schemas.openxmlformats.org/spreadsheetml/2006/main" count="1327" uniqueCount="891">
  <si>
    <t xml:space="preserve">Concept map of the note “Voting for a consensus with veto rights” (v0.1)</t>
  </si>
  <si>
    <t xml:space="preserve">What it is</t>
  </si>
  <si>
    <t xml:space="preserve">Every concept of the note linked to the bibliography, and every bibliography entry linked to the concepts it supports, with the key ideas it conveys.</t>
  </si>
  <si>
    <t xml:space="preserve">Concepts to bibliography</t>
  </si>
  <si>
    <t xml:space="preserve">One row per concept: the bibliography entries that support it (oldest first), its definition and role in the note, the sections.</t>
  </si>
  <si>
    <t xml:space="preserve">Bibliography to concepts</t>
  </si>
  <si>
    <t xml:space="preserve">One row per entry (alphabetical): the concepts it supports, the key ideas it conveys, where the note cites it, the full reference, the DOI or URL, and any field still to verify.</t>
  </si>
  <si>
    <t xml:space="preserve">Matrix</t>
  </si>
  <si>
    <t xml:space="preserve">One row per entry, one column per concept; x where they are linked. Totals by row and column.</t>
  </si>
  <si>
    <t xml:space="preserve">How to update</t>
  </si>
  <si>
    <t xml:space="preserve">Do not edit this workbook: edit literature/concept-map/concepts.csv and references.csv (each link is entered once, in references.csv), then run python3 tools/concept_map.py from the repository root. Bibliographic details come from manuscript/references.bib; the sections citing each entry are read from manuscript/sections/.</t>
  </si>
  <si>
    <t xml:space="preserve">Counts (formulas)</t>
  </si>
  <si>
    <t xml:space="preserve">Concepts</t>
  </si>
  <si>
    <t xml:space="preserve">Bibliography entries</t>
  </si>
  <si>
    <t xml:space="preserve">Links, counted by concept</t>
  </si>
  <si>
    <t xml:space="preserve">Links, counted by entry</t>
  </si>
  <si>
    <t xml:space="preserve">Links in the matrix</t>
  </si>
  <si>
    <t xml:space="preserve">Reciprocity check</t>
  </si>
  <si>
    <t xml:space="preserve">Concept</t>
  </si>
  <si>
    <t xml:space="preserve">Definition and role in the note</t>
  </si>
  <si>
    <t xml:space="preserve">Note sections</t>
  </si>
  <si>
    <t xml:space="preserve">Concept id</t>
  </si>
  <si>
    <t xml:space="preserve">Number of entries</t>
  </si>
  <si>
    <t xml:space="preserve">Condorcet winner and the majority principle</t>
  </si>
  <si>
    <t xml:space="preserve">Condorcet (1785). Essai sur l'application de l'analyse à la probabilité des décisions rendues à la pluralité des voix
Black (1948). On the Rationale of Group Decision-Making
May (1952). A Set of Independent Necessary and Sufficient Conditions for Simple Majority Decision
Rae (1969). Decision-Rules and Individual Values in Constitutional Choice
Young &amp; Levenglick (1978). A Consistent Extension of Condorcet's Election Principle
Moulin (1988). Condorcet's Principle Implies the No Show Paradox
Young (1988). Condorcet's Theory of Voting</t>
  </si>
  <si>
    <t xml:space="preserve">An option that beats every other option in pairwise majority. The majoritarian reading of a compromise, and the second step of QVC.</t>
  </si>
  <si>
    <t xml:space="preserve">2.2, 2.5, 3.3, 5, 6</t>
  </si>
  <si>
    <t xml:space="preserve">C01</t>
  </si>
  <si>
    <t xml:space="preserve">Majority cycles and their frequency</t>
  </si>
  <si>
    <t xml:space="preserve">Condorcet (1785). Essai sur l'application de l'analyse à la probabilité des décisions rendues à la pluralité des voix
Guilbaud (1952). Les théories de l'intérêt général et le problème logique de l'agrégation
Gehrlein &amp; Fishburn (1976). The Probability of the Paradox of Voting: A Computable Solution
Gehrlein (2006). Condorcet's Paradox
Regenwetter et al. (2006). Behavioral Social Choice: Probabilistic Models, Statistical Inference, and Applications
Tideman (2006). Collective Decisions and Voting: The Potential for Public Choice
Tideman &amp; Plassmann (2012). Modeling the Outcomes of Vote-Casting in Actual Elections</t>
  </si>
  <si>
    <t xml:space="preserve">Majority preferences can be cyclic (Condorcet paradox); how often a Condorcet winner exists depends on the structure of preferences.</t>
  </si>
  <si>
    <t xml:space="preserve">3.2, Table 1</t>
  </si>
  <si>
    <t xml:space="preserve">C02</t>
  </si>
  <si>
    <t xml:space="preserve">Smith set and Condorcet completions</t>
  </si>
  <si>
    <t xml:space="preserve">Smith (1973). Aggregation of Preferences with Variable Electorate
Fishburn (1977). Condorcet Social Choice Functions
Laffond et al. (1993). The Bipartisan Set of a Tournament Game
Schulze (2011). A New Monotonic, Clone-Independent, Reversal Symmetric, and Condorcet-Consistent Single-Winner Election Method
Brandt et al. (2016). Handbook of Computational Social Choice</t>
  </si>
  <si>
    <t xml:space="preserve">The smallest set of options that each beat every option outside it; Condorcet methods differ in how they choose within it.</t>
  </si>
  <si>
    <t xml:space="preserve">2.2, 5.1</t>
  </si>
  <si>
    <t xml:space="preserve">C03</t>
  </si>
  <si>
    <t xml:space="preserve">Schulze method</t>
  </si>
  <si>
    <t xml:space="preserve">Schulze (2011). A New Monotonic, Clone-Independent, Reversal Symmetric, and Condorcet-Consistent Single-Winner Election Method
Debian Project (2022). Constitution for the Debian Project (v1.9)</t>
  </si>
  <si>
    <t xml:space="preserve">Condorcet method based on the strongest paths of pairwise victories: Smith-consistent, clone-independent, monotonic, O(m^3). The majority step of QVC.</t>
  </si>
  <si>
    <t xml:space="preserve">5, 6, App. B</t>
  </si>
  <si>
    <t xml:space="preserve">C04</t>
  </si>
  <si>
    <t xml:space="preserve">Ranked Pairs</t>
  </si>
  <si>
    <t xml:space="preserve">Tideman (1987). Independence of Clones as a Criterion for Voting Rules
Zavist &amp; Tideman (1989). Complete Independence of Clones in the Ranked Pairs Rule
Tideman (2006). Collective Decisions and Voting: The Potential for Public Choice</t>
  </si>
  <si>
    <t xml:space="preserve">Locks pairwise majorities from the strongest down unless they close a cycle; clone-independent. Could replace Schulze in QVC.</t>
  </si>
  <si>
    <t xml:space="preserve">5, App. B</t>
  </si>
  <si>
    <t xml:space="preserve">C05</t>
  </si>
  <si>
    <t xml:space="preserve">Split Cycle and Stable Voting</t>
  </si>
  <si>
    <t xml:space="preserve">Holliday &amp; Pacuit (2023). Split Cycle: A New Condorcet-Consistent Voting Method Independent of Clones and Immune to Spoilers
Holliday &amp; Pacuit (2023). Stable Voting</t>
  </si>
  <si>
    <t xml:space="preserve">Discards the weakest majority in every cycle; clone-independent and immune to spoilers, but often not single-winner. Stable Voting refines it to one winner.</t>
  </si>
  <si>
    <t xml:space="preserve">C06</t>
  </si>
  <si>
    <t xml:space="preserve">Kemeny-Young and distance-based consensus</t>
  </si>
  <si>
    <t xml:space="preserve">Kemeny (1959). Mathematics without Numbers
Young &amp; Levenglick (1978). A Consistent Extension of Condorcet's Election Principle
Young (1988). Condorcet's Theory of Voting
Bartholdi et al. (1989). Voting Schemes for Which It Can Be Difficult to Tell Who Won the Election
Elkind et al. (2015). Distance Rationalization of Voting Rules
Brandt et al. (2016). Handbook of Computational Social Choice</t>
  </si>
  <si>
    <t xml:space="preserve">The ranking closest to the voters' pairwise preferences; more generally, rules read as the nearest consensus profile. Kemeny is NP-hard.</t>
  </si>
  <si>
    <t xml:space="preserve">2.5, 5.1</t>
  </si>
  <si>
    <t xml:space="preserve">C07</t>
  </si>
  <si>
    <t xml:space="preserve">Copeland and Minimax</t>
  </si>
  <si>
    <t xml:space="preserve">Simpson (1969). On Defining Areas of Voter Choice: Professor Tullock on Stable Voting
Fishburn (1977). Condorcet Social Choice Functions</t>
  </si>
  <si>
    <t xml:space="preserve">Condorcet methods that count pairwise wins (Copeland) or minimise the worst defeat (Minimax); neither is independent of clones.</t>
  </si>
  <si>
    <t xml:space="preserve">5</t>
  </si>
  <si>
    <t xml:space="preserve">C08</t>
  </si>
  <si>
    <t xml:space="preserve">Positional and runoff rules</t>
  </si>
  <si>
    <t xml:space="preserve">Young (1974). An Axiomatization of Borda's Rule
Merrill (1984). A Comparison of Efficiency of Multicandidate Electoral Systems
Tideman (1987). Independence of Clones as a Criterion for Voting Rules
Felsenthal (2012). Review of Paradoxes Afflicting Procedures for Electing a Single Candidate
Laslier (2012). And the Loser Is… Plurality Voting</t>
  </si>
  <si>
    <t xml:space="preserve">Plurality, Borda and instant-runoff (IRV): score ranks or eliminate by first choices. Vote splitting (plurality), teaming (Borda), non-monotonicity (IRV).</t>
  </si>
  <si>
    <t xml:space="preserve">5, 7</t>
  </si>
  <si>
    <t xml:space="preserve">C09</t>
  </si>
  <si>
    <t xml:space="preserve">Evaluative rules: approval and Majority Judgment</t>
  </si>
  <si>
    <t xml:space="preserve">Brams &amp; Fishburn (1978). Approval Voting
Balinski &amp; Laraki (2007). A Theory of Measuring, Electing, and Ranking
Felsenthal &amp; Machover (2008). The Majority Judgement Voting Procedure: A Critical Evaluation
Laslier &amp; Sanver (2010). Handbook on Approval Voting
Balinski &amp; Laraki (2011). Majority Judgment: Measuring, Ranking, and Electing
Laslier (2012). And the Loser Is… Plurality Voting</t>
  </si>
  <si>
    <t xml:space="preserve">Voters approve or grade options; approval elects the most acceptable option, Majority Judgment the best median grade. The acceptability line of the QVC ballot borrows from them.</t>
  </si>
  <si>
    <t xml:space="preserve">2.1, 5.1</t>
  </si>
  <si>
    <t xml:space="preserve">C10</t>
  </si>
  <si>
    <t xml:space="preserve">Probabilistic social choice</t>
  </si>
  <si>
    <t xml:space="preserve">Fishburn (1984). Probabilistic Social Choice Based on Simple Voting Comparisons
Laffond et al. (1993). The Bipartisan Set of a Tournament Game
Brandl et al. (2016). Consistent Probabilistic Social Choice</t>
  </si>
  <si>
    <t xml:space="preserve">Maximal lotteries and tournament solutions: lotteries over options unbeaten in expected pairwise majority.</t>
  </si>
  <si>
    <t xml:space="preserve">5.1</t>
  </si>
  <si>
    <t xml:space="preserve">C11</t>
  </si>
  <si>
    <t xml:space="preserve">Independence of clones and agenda flooding</t>
  </si>
  <si>
    <t xml:space="preserve">Tideman (1987). Independence of Clones as a Criterion for Voting Rules
Zavist &amp; Tideman (1989). Complete Independence of Clones in the Ranked Pairs Rule
Schulze (2011). A New Monotonic, Clone-Independent, Reversal Symmetric, and Condorcet-Consistent Single-Winner Election Method
Felsenthal (2012). Review of Paradoxes Afflicting Procedures for Electing a Single Candidate
Holliday &amp; Pacuit (2023). Split Cycle: A New Condorcet-Consistent Voting Method Independent of Clones and Immune to Spoilers</t>
  </si>
  <si>
    <t xml:space="preserve">Adding variants of an option must not change the outcome. Required by an open agenda (H1); fails for Borda, fallback bargaining and the proportional veto core.</t>
  </si>
  <si>
    <t xml:space="preserve">2.3, 5.2, Prop. 3 and 7, Table 7</t>
  </si>
  <si>
    <t xml:space="preserve">C12</t>
  </si>
  <si>
    <t xml:space="preserve">Impossibility theorems</t>
  </si>
  <si>
    <t xml:space="preserve">Arrow (1951). Social Choice and Individual Values
Gibbard (1973). Manipulation of Voting Schemes: A General Result
Satterthwaite (1975). Strategy-Proofness and Arrow's Conditions: Existence and Correspondence Theorems for Voting Procedures and Social Welfare Functions
Moulin (1983). The Strategy of Social Choice</t>
  </si>
  <si>
    <t xml:space="preserve">Arrow: no ranking rule meets Pareto, independence of irrelevant alternatives and non-dictatorship. Gibbard-Satterthwaite: every non-dictatorial rule with 3+ options is manipulable.</t>
  </si>
  <si>
    <t xml:space="preserve">3.1</t>
  </si>
  <si>
    <t xml:space="preserve">C13</t>
  </si>
  <si>
    <t xml:space="preserve">Manipulation and its complexity</t>
  </si>
  <si>
    <t xml:space="preserve">Gibbard (1973). Manipulation of Voting Schemes: A General Result
Satterthwaite (1975). Strategy-Proofness and Arrow's Conditions: Existence and Correspondence Theorems for Voting Procedures and Social Welfare Functions
Bartholdi et al. (1989). Voting Schemes for Which It Can Be Difficult to Tell Who Won the Election
Bartholdi et al. (1989). The Computational Difficulty of Manipulating an Election
Felsenthal &amp; Machover (2008). The Majority Judgement Voting Procedure: A Critical Evaluation
Faliszewski &amp; Procaccia (2010). AI's War on Manipulation: Are We Winning?
Brandt et al. (2016). Handbook of Computational Social Choice
Green-Armytage et al. (2016). Statistical Evaluation of Voting Rules</t>
  </si>
  <si>
    <t xml:space="preserve">How often, by whom and how hard strategic voting is; computational hardness as a barrier; measured by coalitional manipulability.</t>
  </si>
  <si>
    <t xml:space="preserve">3.1, 7, Table 8</t>
  </si>
  <si>
    <t xml:space="preserve">C14</t>
  </si>
  <si>
    <t xml:space="preserve">Participation and the no-show paradox</t>
  </si>
  <si>
    <t xml:space="preserve">Moulin (1988). Condorcet's Principle Implies the No Show Paradox
Felsenthal (2012). Review of Paradoxes Afflicting Procedures for Electing a Single Candidate
Brandt et al. (2017). Optimal Bounds for the No-Show Paradox via SAT Solving
Holliday &amp; Pacuit (2023). Split Cycle: A New Condorcet-Consistent Voting Method Independent of Clones and Immune to Spoilers
Kondratev &amp; Ianovski (2024). Veto Core Consistent Preference Aggregation</t>
  </si>
  <si>
    <t xml:space="preserve">Condorcet-consistent rules can reward abstention with 4+ options; related: positive and negative involvement.</t>
  </si>
  <si>
    <t xml:space="preserve">C15</t>
  </si>
  <si>
    <t xml:space="preserve">Single-peaked preferences and the median voter</t>
  </si>
  <si>
    <t xml:space="preserve">Black (1948). On the Rationale of Group Decision-Making
Gersbach (2025). Propose or Vote: A Canonical Democratic Procedure</t>
  </si>
  <si>
    <t xml:space="preserve">With single-peaked preferences the median voter's favourite is the Condorcet winner, and majority rule is transitive.</t>
  </si>
  <si>
    <t xml:space="preserve">3.2, App. C</t>
  </si>
  <si>
    <t xml:space="preserve">C16</t>
  </si>
  <si>
    <t xml:space="preserve">Spatial voting, chaos and agenda control</t>
  </si>
  <si>
    <t xml:space="preserve">Plott (1967). A Notion of Equilibrium and Its Possibility Under Majority Rule
McKelvey (1976). Intransitivities in Multidimensional Voting Models and Some Implications for Agenda Control
Barberà &amp; Gerber (2017). Sequential Voting and Agenda Manipulation</t>
  </si>
  <si>
    <t xml:space="preserve">In two or more dimensions majority equilibria rarely exist and cycles span the space, so whoever controls the agenda can steer the outcome.</t>
  </si>
  <si>
    <t xml:space="preserve">3.4, 4.2</t>
  </si>
  <si>
    <t xml:space="preserve">C17</t>
  </si>
  <si>
    <t xml:space="preserve">Supermajority, stability and the core</t>
  </si>
  <si>
    <t xml:space="preserve">Plott (1967). A Notion of Equilibrium and Its Possibility Under Majority Rule
Greenberg (1979). Consistent Majority Rules over Compact Sets of Alternatives
Nakamura (1979). The Vetoers in a Simple Game with Ordinal Preferences
Caplin &amp; Nalebuff (1988). On 64%-Majority Rule</t>
  </si>
  <si>
    <t xml:space="preserve">When quota rules have undominated options: Nakamura number, Greenberg's d/(d+1), the 64% rule. Vetoes make cores non-empty but favour the status quo.</t>
  </si>
  <si>
    <t xml:space="preserve">3.4, Prop. 8</t>
  </si>
  <si>
    <t xml:space="preserve">C18</t>
  </si>
  <si>
    <t xml:space="preserve">Choice of the voting quota</t>
  </si>
  <si>
    <t xml:space="preserve">Buchanan &amp; Tullock (1962). The Calculus of Consent: Logical Foundations of Constitutional Democracy
Rae (1969). Decision-Rules and Individual Values in Constitutional Choice
Caplin &amp; Nalebuff (1988). On 64%-Majority Rule</t>
  </si>
  <si>
    <t xml:space="preserve">The quota trades decision costs against external costs (Buchanan-Tullock); simple majority maximises expected agreement (Rae).</t>
  </si>
  <si>
    <t xml:space="preserve">3.4</t>
  </si>
  <si>
    <t xml:space="preserve">C19</t>
  </si>
  <si>
    <t xml:space="preserve">Unanimity versus majority with veto</t>
  </si>
  <si>
    <t xml:space="preserve">Laing &amp; Slotznick (1991). When Anyone Can Veto: A Laboratory Study of Committees Governed by Unanimous Rule
Kagel et al. (2010). Veto Power in Committees: An Experimental Study
Bouton et al. (2017). Unanimous Rules in the Laboratory
Bouton et al. (2018). Get Rid of Unanimity Rule: The Superiority of Majority Rules with Veto Power
Agranov &amp; Tergiman (2019). Communication in Bargaining Games with Unanimity
Breitmoser &amp; Valasek (2024). Strategic Communication in Committees with Expressive Payoffs
Miettinen &amp; Vanberg (2025). Commitment and Conflict in Unanimity Bargaining
Piazolo &amp; Vanberg (2025). Legislative Bargaining with Private Information: A Comparison of Majority and Unanimity Rule
Glynia et al. (2026). Unanimity versus Majority: Proposing under Incomplete Information</t>
  </si>
  <si>
    <t xml:space="preserve">Comparisons of unanimity with majority rule plus a separate veto: information aggregation, delay, bargaining costs.</t>
  </si>
  <si>
    <t xml:space="preserve">4.1</t>
  </si>
  <si>
    <t xml:space="preserve">C20</t>
  </si>
  <si>
    <t xml:space="preserve">Veto players, status-quo bias and gridlock</t>
  </si>
  <si>
    <t xml:space="preserve">Buchanan &amp; Tullock (1962). The Calculus of Consent: Logical Foundations of Constitutional Democracy
Romer &amp; Rosenthal (1978). Political Resource Allocation, Controlled Agendas, and the Status Quo
Nakamura (1979). The Vetoers in a Simple Game with Ordinal Preferences
Tsebelis (1995). Decision Making in Political Systems: Veto Players in Presidentialism, Parliamentarism, Multicameralism and Multipartyism
Tsebelis (2002). Veto Players: How Political Institutions Work
Roháč (2008). The Unanimity Rule and Religious Fractionalisation in the Polish-Lithuanian Republic
Kagel et al. (2010). Veto Power in Committees: An Experimental Study
Dziuda &amp; Loeper (2016). Dynamic Collective Choice with Endogenous Status Quo
Anesi &amp; Duggan (2017). Dynamic Bargaining and Stability with Veto Players
Anesi &amp; Bowen (2021). Policy Experimentation in Committees: A Case against Veto Rights under Redistributive Constraints
Nunnari (2021). Dynamic Legislative Bargaining with Veto Power: Theory and Experiments</t>
  </si>
  <si>
    <t xml:space="preserve">More veto players mean more policy stability; with the status quo as default, vetoes become a vote for inertia. Prop. 2: unanimity deadlocks a large assembly.</t>
  </si>
  <si>
    <t xml:space="preserve">3.4, 4.2, Prop. 2</t>
  </si>
  <si>
    <t xml:space="preserve">C21</t>
  </si>
  <si>
    <t xml:space="preserve">Agenda setting and proposal power</t>
  </si>
  <si>
    <t xml:space="preserve">McKelvey (1976). Intransitivities in Multidimensional Voting Models and Some Implications for Agenda Control
Romer &amp; Rosenthal (1978). Political Resource Allocation, Controlled Agendas, and the Status Quo
Baron &amp; Ferejohn (1989). Bargaining in Legislatures
Harrington (1990). The Power of the Proposal Maker in a Model of Endogenous Agenda Formation
Barberà &amp; Gerber (2017). Sequential Voting and Agenda Manipulation
Gersbach (2024). Forms of New Democracy
Glynia et al. (2026). Unanimity versus Majority: Proposing under Incomplete Information</t>
  </si>
  <si>
    <t xml:space="preserve">Proposers and agenda setters gain power from the reversion point, the order of votes and the right to propose.</t>
  </si>
  <si>
    <t xml:space="preserve">4.2</t>
  </si>
  <si>
    <t xml:space="preserve">C22</t>
  </si>
  <si>
    <t xml:space="preserve">Dynamic bargaining and endogenous status quo</t>
  </si>
  <si>
    <t xml:space="preserve">Baron &amp; Ferejohn (1989). Bargaining in Legislatures
Anesi &amp; Seidmann (2015). Bargaining in Standing Committees with an Endogenous Default
Dziuda &amp; Loeper (2016). Dynamic Collective Choice with Endogenous Status Quo
Anesi &amp; Duggan (2017). Dynamic Bargaining and Stability with Veto Players
Anesi &amp; Bowen (2021). Policy Experimentation in Committees: A Case against Veto Rights under Redistributive Constraints
Nunnari (2021). Dynamic Legislative Bargaining with Veto Power: Theory and Experiments</t>
  </si>
  <si>
    <t xml:space="preserve">When today's decision is tomorrow's status quo: inertia, inefficiency, capture by vetoers.</t>
  </si>
  <si>
    <t xml:space="preserve">C23</t>
  </si>
  <si>
    <t xml:space="preserve">Number of rounds and fast proposal procedures</t>
  </si>
  <si>
    <t xml:space="preserve">Bognar et al. (2015). An Optimal Voting Procedure when Voting is Costly
Gersbach &amp; Valkanova (2024). Voting with Random Proposers: Two Rounds May Suffice
Gersbach (2024). Forms of New Democracy
Gersbach (2025). Propose or Vote: A Canonical Democratic Procedure</t>
  </si>
  <si>
    <t xml:space="preserve">One or two rounds suffice in structured proposal models; more rounds can empower vetoers. QVC uses one ballot and at most one revision round.</t>
  </si>
  <si>
    <t xml:space="preserve">4.3, 6.6</t>
  </si>
  <si>
    <t xml:space="preserve">C24</t>
  </si>
  <si>
    <t xml:space="preserve">Voting by veto (sequential vetoes)</t>
  </si>
  <si>
    <t xml:space="preserve">Mueller (1978). Voting by Veto
Moulin (1982). Voting with Proportional Veto Power
Moulin (1983). The Strategy of Social Choice
Anbarci (1993). Noncooperative Foundations of the Area Monotonic Solution</t>
  </si>
  <si>
    <t xml:space="preserve">Members strike options in turn until one is left; decisive, but not anonymous and not clone-independent.</t>
  </si>
  <si>
    <t xml:space="preserve">4.4, Tables 5-7</t>
  </si>
  <si>
    <t xml:space="preserve">C25</t>
  </si>
  <si>
    <t xml:space="preserve">Proportional veto and the veto core</t>
  </si>
  <si>
    <t xml:space="preserve">Moulin (1981). The Proportional Veto Principle
Moulin (1982). Voting with Proportional Veto Power
Moulin (1983). The Strategy of Social Choice
Kondratev &amp; Nesterov (2020). Measuring Majority Power and Veto Power of Voting Rules
Ianovski &amp; Kondratev (2021). Computing the Proportional Veto Core
Kondratev &amp; Ianovski (2024). Veto Core Consistent Preference Aggregation</t>
  </si>
  <si>
    <t xml:space="preserve">Coalitions veto a share of options equal to their share of voters; the core is never empty and computable by max-flow, but fails independence of clones.</t>
  </si>
  <si>
    <t xml:space="preserve">2.4, 4.4, 5.2, App. B</t>
  </si>
  <si>
    <t xml:space="preserve">C26</t>
  </si>
  <si>
    <t xml:space="preserve">Majority power versus veto power</t>
  </si>
  <si>
    <t xml:space="preserve">Kondratev &amp; Nesterov (2020). Measuring Majority Power and Veto Power of Voting Rules</t>
  </si>
  <si>
    <t xml:space="preserve">The share of voters that guarantees a majority its favourites against the share that lets a minority exclude its worst options.</t>
  </si>
  <si>
    <t xml:space="preserve">3.3</t>
  </si>
  <si>
    <t xml:space="preserve">C27</t>
  </si>
  <si>
    <t xml:space="preserve">Compromise by descent: fallback bargaining and majoritarian compromise</t>
  </si>
  <si>
    <t xml:space="preserve">Hurwicz &amp; Sertel (1999). Designing Mechanisms, in Particular for Electoral Systems: The Majoritarian Compromise
Sertel &amp; Yılmaz (1999). The Majoritarian Compromise is Majoritarian-Optimal and Subgame-Perfect Implementable
Brams &amp; Kilgour (2001). Fallback Bargaining
Cailloux et al. (2023). Compromising as an Equal Loss Principle</t>
  </si>
  <si>
    <t xml:space="preserve">Voters descend their rankings in lockstep until all (fallback bargaining) or a majority (majoritarian compromise) agree.</t>
  </si>
  <si>
    <t xml:space="preserve">C28</t>
  </si>
  <si>
    <t xml:space="preserve">Two-party compromise rules</t>
  </si>
  <si>
    <t xml:space="preserve">Anbarci (1993). Noncooperative Foundations of the Area Monotonic Solution
Barberà &amp; Coelho (2017). Balancing the Power to Appoint Officers
Laslier et al. (2021). A Solution to the Two-Person Implementation Problem
Barberà &amp; Coelho (2022). Compromising on Compromise Rules
Cailloux et al. (2023). Compromising as an Equal Loss Principle</t>
  </si>
  <si>
    <t xml:space="preserve">Shortlisting, alternating vetoes and veto-rank between two parties; strategic properties and the meaning of a compromise.</t>
  </si>
  <si>
    <t xml:space="preserve">4.4</t>
  </si>
  <si>
    <t xml:space="preserve">C29</t>
  </si>
  <si>
    <t xml:space="preserve">Consensus decision-making in practice</t>
  </si>
  <si>
    <t xml:space="preserve">Resnick (2014). On Consensus and Humming in the IETF
Krick (2017). The Myth of Effective Veto Power under the Rule of Consensus: Dynamics and Democratic Legitimacy of Collective Decision-Making by ``Tacit Consent''</t>
  </si>
  <si>
    <t xml:space="preserve">Rough consensus (objections addressed, not unanimity) and tacit consent: how organisations decide without formal individual vetoes.</t>
  </si>
  <si>
    <t xml:space="preserve">4.5, 6.6</t>
  </si>
  <si>
    <t xml:space="preserve">C30</t>
  </si>
  <si>
    <t xml:space="preserve">Institutional design of vetoes</t>
  </si>
  <si>
    <t xml:space="preserve">Roháč (2008). The Unanimity Rule and Religious Fractionalisation in the Polish-Lithuanian Republic
European Union (2016). Consolidated Version of the Treaty on European Union, Article 16
Debian Project (2022). Constitution for the Debian Project (v1.9)</t>
  </si>
  <si>
    <t xml:space="preserve">Blocking minorities, default options, quorums and supermajorities in real institutions; the liberum veto as the failure case.</t>
  </si>
  <si>
    <t xml:space="preserve">2.4, 4.5, 6.5</t>
  </si>
  <si>
    <t xml:space="preserve">C31</t>
  </si>
  <si>
    <t xml:space="preserve">Evaluating rules with simulations and data</t>
  </si>
  <si>
    <t xml:space="preserve">Mallows (1957). Non-Null Ranking Models. I
Gehrlein &amp; Fishburn (1976). The Probability of the Paradox of Voting: A Computable Solution
Merrill (1984). A Comparison of Efficiency of Multicandidate Electoral Systems
Gehrlein (2006). Condorcet's Paradox
Regenwetter et al. (2006). Behavioral Social Choice: Probabilistic Models, Statistical Inference, and Applications
Tideman (2006). Collective Decisions and Voting: The Potential for Public Choice
Laslier (2012). And the Loser Is… Plurality Voting
Tideman &amp; Plassmann (2012). Modeling the Outcomes of Vote-Casting in Actual Elections
Mattei &amp; Walsh (2013). PrefLib: A Library for Preferences
Green-Armytage et al. (2016). Statistical Evaluation of Voting Rules</t>
  </si>
  <si>
    <t xml:space="preserve">Comparing rules on random cultures and real ballots: Condorcet efficiency, utility efficiency, probability models, preference libraries.</t>
  </si>
  <si>
    <t xml:space="preserve">3.2, 7, App. C</t>
  </si>
  <si>
    <t xml:space="preserve">C32</t>
  </si>
  <si>
    <t xml:space="preserve">Communication, accountability and experiments in committees</t>
  </si>
  <si>
    <t xml:space="preserve">Laing &amp; Slotznick (1991). When Anyone Can Veto: A Laboratory Study of Committees Governed by Unanimous Rule
Kagel et al. (2010). Veto Power in Committees: An Experimental Study
Bouton et al. (2017). Unanimous Rules in the Laboratory
Agranov &amp; Tergiman (2019). Communication in Bargaining Games with Unanimity
Nunnari (2021). Dynamic Legislative Bargaining with Veto Power: Theory and Experiments
Breitmoser &amp; Valasek (2024). Strategic Communication in Committees with Expressive Payoffs
Piazolo &amp; Vanberg (2025). Legislative Bargaining with Private Information: A Comparison of Majority and Unanimity Rule</t>
  </si>
  <si>
    <t xml:space="preserve">Laboratory and theoretical work on how deliberation, communication and responsibility for one's vote change committee outcomes.</t>
  </si>
  <si>
    <t xml:space="preserve">4.1, 6.6, 8</t>
  </si>
  <si>
    <t xml:space="preserve">C33</t>
  </si>
  <si>
    <t xml:space="preserve">Veto budgets and storable votes</t>
  </si>
  <si>
    <t xml:space="preserve">Casella (2005). Storable Votes</t>
  </si>
  <si>
    <t xml:space="preserve">A limited stock of votes or vetoes across decisions, spent where members care most; a safeguard against routine blocking.</t>
  </si>
  <si>
    <t xml:space="preserve">6.6, 8.2</t>
  </si>
  <si>
    <t xml:space="preserve">C34</t>
  </si>
  <si>
    <t xml:space="preserve">Delegation in veto bargaining</t>
  </si>
  <si>
    <t xml:space="preserve">Kartik et al. (2021). Delegation in Veto Bargaining</t>
  </si>
  <si>
    <t xml:space="preserve">Under incomplete information, the best use of a veto player can be to let them choose within an interval fixed in advance.</t>
  </si>
  <si>
    <t xml:space="preserve">C35</t>
  </si>
  <si>
    <t xml:space="preserve">Bibliography entry</t>
  </si>
  <si>
    <t xml:space="preserve">Concepts used</t>
  </si>
  <si>
    <t xml:space="preserve">Key ideas conveyed</t>
  </si>
  <si>
    <t xml:space="preserve">Citation key</t>
  </si>
  <si>
    <t xml:space="preserve">Cited in (sections of the note)</t>
  </si>
  <si>
    <t xml:space="preserve">Full reference</t>
  </si>
  <si>
    <t xml:space="preserve">DOI or URL</t>
  </si>
  <si>
    <t xml:space="preserve">Still to verify</t>
  </si>
  <si>
    <t xml:space="preserve">Number of concepts</t>
  </si>
  <si>
    <t xml:space="preserve">Agranov &amp; Tergiman (2019). Communication in Bargaining Games with Unanimity</t>
  </si>
  <si>
    <t xml:space="preserve">C33 Communication, accountability and experiments in committees
C20 Unanimity versus majority with veto</t>
  </si>
  <si>
    <t xml:space="preserve">Experiments on communication before voting in bargaining games with unanimity.</t>
  </si>
  <si>
    <t xml:space="preserve">AgranovTergiman2019</t>
  </si>
  <si>
    <t xml:space="preserve">§4 Veto literature</t>
  </si>
  <si>
    <t xml:space="preserve">Agranov, M. &amp; Tergiman, C. (2019). Communication in Bargaining Games with Unanimity. Experimental Economics 22(2): 350–368.</t>
  </si>
  <si>
    <t xml:space="preserve">https://doi.org/10.1007/s10683-018-9571-6</t>
  </si>
  <si>
    <t xml:space="preserve">Anbarci (1993). Noncooperative Foundations of the Area Monotonic Solution</t>
  </si>
  <si>
    <t xml:space="preserve">C29 Two-party compromise rules
C25 Voting by veto (sequential vetoes)</t>
  </si>
  <si>
    <t xml:space="preserve">Alternating vetoes give non-cooperative foundations to the area-monotonic bargaining solution.</t>
  </si>
  <si>
    <t xml:space="preserve">Anbarci1993</t>
  </si>
  <si>
    <t xml:space="preserve">Anbarci, N. (1993). Noncooperative Foundations of the Area Monotonic Solution. Quarterly Journal of Economics 108(1): 245–258.</t>
  </si>
  <si>
    <t xml:space="preserve">https://doi.org/10.2307/2118502</t>
  </si>
  <si>
    <t xml:space="preserve">Anesi &amp; Bowen (2021). Policy Experimentation in Committees: A Case against Veto Rights under Redistributive Constraints</t>
  </si>
  <si>
    <t xml:space="preserve">C21 Veto players, status-quo bias and gridlock
C23 Dynamic bargaining and endogenous status quo</t>
  </si>
  <si>
    <t xml:space="preserve">Veto rights deter policy experimentation under redistributive constraints: a case against vetoes.</t>
  </si>
  <si>
    <t xml:space="preserve">AnesiBowen2021</t>
  </si>
  <si>
    <t xml:space="preserve">Anesi, V. &amp; Bowen, T. R. (2021). Policy Experimentation in Committees: A Case against Veto Rights under Redistributive Constraints. American Economic Journal: Microeconomics 13(3): 124–162.</t>
  </si>
  <si>
    <t xml:space="preserve">https://doi.org/10.1257/mic.20190023</t>
  </si>
  <si>
    <t xml:space="preserve">Anesi &amp; Duggan (2017). Dynamic Bargaining and Stability with Veto Players</t>
  </si>
  <si>
    <t xml:space="preserve">C23 Dynamic bargaining and endogenous status quo
C21 Veto players, status-quo bias and gridlock</t>
  </si>
  <si>
    <t xml:space="preserve">Stability of policies in dynamic bargaining with veto players.</t>
  </si>
  <si>
    <t xml:space="preserve">AnesiDuggan2017</t>
  </si>
  <si>
    <t xml:space="preserve">Anesi, V. &amp; Duggan, J. (2017). Dynamic Bargaining and Stability with Veto Players. Games and Economic Behavior 103: 30–40.</t>
  </si>
  <si>
    <t xml:space="preserve">https://doi.org/10.1016/j.geb.2016.04.010</t>
  </si>
  <si>
    <t xml:space="preserve">Anesi &amp; Seidmann (2015). Bargaining in Standing Committees with an Endogenous Default</t>
  </si>
  <si>
    <t xml:space="preserve">C23 Dynamic bargaining and endogenous status quo</t>
  </si>
  <si>
    <t xml:space="preserve">Bargaining in standing committees whose default option is the previous decision: dynamics and inefficiency.</t>
  </si>
  <si>
    <t xml:space="preserve">AnesiSeidmann2015</t>
  </si>
  <si>
    <t xml:space="preserve">Anesi, V. &amp; Seidmann, D. J. (2015). Bargaining in Standing Committees with an Endogenous Default. Review of Economic Studies 82(3): 825–867.</t>
  </si>
  <si>
    <t xml:space="preserve">https://doi.org/10.1093/restud/rdv009</t>
  </si>
  <si>
    <t xml:space="preserve">Arrow (1951). Social Choice and Individual Values</t>
  </si>
  <si>
    <t xml:space="preserve">C13 Impossibility theorems</t>
  </si>
  <si>
    <t xml:space="preserve">No rule turning individual rankings into a social ranking satisfies Pareto, independence of irrelevant alternatives and non-dictatorship when there are three options or more.</t>
  </si>
  <si>
    <t xml:space="preserve">Arrow1951</t>
  </si>
  <si>
    <t xml:space="preserve">§3 Limits</t>
  </si>
  <si>
    <t xml:space="preserve">Arrow, K. J. (1951). Social Choice and Individual Values. John Wiley &amp; Sons.</t>
  </si>
  <si>
    <t xml:space="preserve">https://www.loc.gov/item/51009755/</t>
  </si>
  <si>
    <t xml:space="preserve">Balinski &amp; Laraki (2007). A Theory of Measuring, Electing, and Ranking</t>
  </si>
  <si>
    <t xml:space="preserve">C10 Evaluative rules: approval and Majority Judgment</t>
  </si>
  <si>
    <t xml:space="preserve">Majority Judgment: voters grade every candidate on a common scale, and candidates are ranked by their median grade.</t>
  </si>
  <si>
    <t xml:space="preserve">BalinskiLaraki2007</t>
  </si>
  <si>
    <t xml:space="preserve">§2 Setting, §5 Aggregation</t>
  </si>
  <si>
    <t xml:space="preserve">Balinski, M. &amp; Laraki, R. (2007). A Theory of Measuring, Electing, and Ranking. Proceedings of the National Academy of Sciences 104(21): 8720–8725.</t>
  </si>
  <si>
    <t xml:space="preserve">https://doi.org/10.1073/pnas.0702634104</t>
  </si>
  <si>
    <t xml:space="preserve">Balinski &amp; Laraki (2011). Majority Judgment: Measuring, Ranking, and Electing</t>
  </si>
  <si>
    <t xml:space="preserve">Book-length theory of Majority Judgment: measuring, ranking and electing with grades.</t>
  </si>
  <si>
    <t xml:space="preserve">BalinskiLaraki2011</t>
  </si>
  <si>
    <t xml:space="preserve">Balinski, M. &amp; Laraki, R. (2011). Majority Judgment: Measuring, Ranking, and Electing. MIT Press.</t>
  </si>
  <si>
    <t xml:space="preserve">https://doi.org/10.7551/mitpress/9780262015134.001.0001</t>
  </si>
  <si>
    <t xml:space="preserve">Barberà &amp; Coelho (2017). Balancing the Power to Appoint Officers</t>
  </si>
  <si>
    <t xml:space="preserve">C29 Two-party compromise rules</t>
  </si>
  <si>
    <t xml:space="preserve">Shortlisting procedures to balance two parties' power when appointing an officer.</t>
  </si>
  <si>
    <t xml:space="preserve">BarberaCoelho2017</t>
  </si>
  <si>
    <t xml:space="preserve">Barberà, S. &amp; Coelho, D. (2017). Balancing the Power to Appoint Officers. Games and Economic Behavior 101: 189–203.</t>
  </si>
  <si>
    <t xml:space="preserve">https://doi.org/10.1016/j.geb.2015.10.005</t>
  </si>
  <si>
    <t xml:space="preserve">Barberà &amp; Coelho (2022). Compromising on Compromise Rules</t>
  </si>
  <si>
    <t xml:space="preserve">Compares compromise rules between two parties, such as shortlisting, and their strategic properties.</t>
  </si>
  <si>
    <t xml:space="preserve">BarberaCoelho2022</t>
  </si>
  <si>
    <t xml:space="preserve">§4 Veto literature, §8 Discussion</t>
  </si>
  <si>
    <t xml:space="preserve">Barberà, S. &amp; Coelho, D. (2022). Compromising on Compromise Rules. RAND Journal of Economics 53(1): 95–112.</t>
  </si>
  <si>
    <t xml:space="preserve">https://doi.org/10.1111/1756-2171.12401</t>
  </si>
  <si>
    <t xml:space="preserve">Barberà &amp; Gerber (2017). Sequential Voting and Agenda Manipulation</t>
  </si>
  <si>
    <t xml:space="preserve">C22 Agenda setting and proposal power
C17 Spatial voting, chaos and agenda control</t>
  </si>
  <si>
    <t xml:space="preserve">Sequential voting procedures are open to agenda manipulation.</t>
  </si>
  <si>
    <t xml:space="preserve">BarberaGerber2017</t>
  </si>
  <si>
    <t xml:space="preserve">§4 Veto literature, §5 Aggregation</t>
  </si>
  <si>
    <t xml:space="preserve">Barberà, S. &amp; Gerber, A. (2017). Sequential Voting and Agenda Manipulation. Theoretical Economics 12(1): 211–247.</t>
  </si>
  <si>
    <t xml:space="preserve">https://doi.org/10.3982/TE2118</t>
  </si>
  <si>
    <t xml:space="preserve">Baron &amp; Ferejohn (1989). Bargaining in Legislatures</t>
  </si>
  <si>
    <t xml:space="preserve">C22 Agenda setting and proposal power
C23 Dynamic bargaining and endogenous status quo</t>
  </si>
  <si>
    <t xml:space="preserve">Legislative bargaining with random recognition: proposers capture a large share, depending on the voting rule and the members' patience.</t>
  </si>
  <si>
    <t xml:space="preserve">BaronFerejohn1989</t>
  </si>
  <si>
    <t xml:space="preserve">Baron, D. P. &amp; Ferejohn, J. A. (1989). Bargaining in Legislatures. American Political Science Review 83(4): 1181–1206.</t>
  </si>
  <si>
    <t xml:space="preserve">https://doi.org/10.2307/1961664</t>
  </si>
  <si>
    <t xml:space="preserve">Bartholdi et al. (1989). Voting Schemes for Which It Can Be Difficult to Tell Who Won the Election</t>
  </si>
  <si>
    <t xml:space="preserve">C14 Manipulation and its complexity
C07 Kemeny-Young and distance-based consensus</t>
  </si>
  <si>
    <t xml:space="preserve">Computing the winner of Kemeny's and Dodgson's rules is NP-hard.</t>
  </si>
  <si>
    <t xml:space="preserve">BartholdiToveyTrick1989hard</t>
  </si>
  <si>
    <t xml:space="preserve">§5 Aggregation</t>
  </si>
  <si>
    <t xml:space="preserve">Bartholdi, I. J. J., Tovey, C. A. &amp; Trick, M. A. (1989). Voting Schemes for Which It Can Be Difficult to Tell Who Won the Election. Social Choice and Welfare 6(2): 157–165.</t>
  </si>
  <si>
    <t xml:space="preserve">https://doi.org/10.1007/BF00303169</t>
  </si>
  <si>
    <t xml:space="preserve">Bartholdi et al. (1989). The Computational Difficulty of Manipulating an Election</t>
  </si>
  <si>
    <t xml:space="preserve">C14 Manipulation and its complexity</t>
  </si>
  <si>
    <t xml:space="preserve">Computational complexity as a barrier to manipulation: for some rules, finding a successful manipulation is NP-hard.</t>
  </si>
  <si>
    <t xml:space="preserve">BartholdiToveyTrick1989manip</t>
  </si>
  <si>
    <t xml:space="preserve">Bartholdi, I. J. J., Tovey, C. A. &amp; Trick, M. A. (1989). The Computational Difficulty of Manipulating an Election. Social Choice and Welfare 6(3): 227–241.</t>
  </si>
  <si>
    <t xml:space="preserve">https://doi.org/10.1007/BF00295861</t>
  </si>
  <si>
    <t xml:space="preserve">Black (1948). On the Rationale of Group Decision-Making</t>
  </si>
  <si>
    <t xml:space="preserve">C16 Single-peaked preferences and the median voter
C01 Condorcet winner and the majority principle</t>
  </si>
  <si>
    <t xml:space="preserve">With single-peaked preferences, the median voter's favourite beats every other option in pairwise majority: majority rule is then transitive.</t>
  </si>
  <si>
    <t xml:space="preserve">Black1948</t>
  </si>
  <si>
    <t xml:space="preserve">§3 Limits, App. C Simulation</t>
  </si>
  <si>
    <t xml:space="preserve">Black, D. (1948). On the Rationale of Group Decision-Making. Journal of Political Economy 56(1): 23–34.</t>
  </si>
  <si>
    <t xml:space="preserve">https://doi.org/10.1086/256633</t>
  </si>
  <si>
    <t xml:space="preserve">Bognar et al. (2015). An Optimal Voting Procedure when Voting is Costly</t>
  </si>
  <si>
    <t xml:space="preserve">C24 Number of rounds and fast proposal procedures</t>
  </si>
  <si>
    <t xml:space="preserve">When voting is costly, the optimal procedure is sequential, with a threshold that falls over rounds.</t>
  </si>
  <si>
    <t xml:space="preserve">Bognar2015</t>
  </si>
  <si>
    <t xml:space="preserve">Bognar, K., Börgers, T. &amp; Meyer-ter-Vehn, M. (2015). An Optimal Voting Procedure when Voting is Costly. Journal of Economic Theory 159(Part B): 1056–1073.</t>
  </si>
  <si>
    <t xml:space="preserve">https://doi.org/10.1016/j.jet.2014.11.008</t>
  </si>
  <si>
    <t xml:space="preserve">Bouton et al. (2017). Unanimous Rules in the Laboratory</t>
  </si>
  <si>
    <t xml:space="preserve">C20 Unanimity versus majority with veto
C33 Communication, accountability and experiments in committees</t>
  </si>
  <si>
    <t xml:space="preserve">Laboratory evidence that majority with veto outperforms unanimity.</t>
  </si>
  <si>
    <t xml:space="preserve">BoutonLlorenteSaguerMalherbe2017</t>
  </si>
  <si>
    <t xml:space="preserve">Bouton, L., Llorente-Saguer, A. &amp; Malherbe, F. (2017). Unanimous Rules in the Laboratory. Games and Economic Behavior 102: 179–198.</t>
  </si>
  <si>
    <t xml:space="preserve">https://doi.org/10.1016/j.geb.2016.12.001</t>
  </si>
  <si>
    <t xml:space="preserve">Bouton et al. (2018). Get Rid of Unanimity Rule: The Superiority of Majority Rules with Veto Power</t>
  </si>
  <si>
    <t xml:space="preserve">C20 Unanimity versus majority with veto</t>
  </si>
  <si>
    <t xml:space="preserve">Majority rule with veto power aggregates information better than unanimity and dominates it in large committees: separate blocking from approving.</t>
  </si>
  <si>
    <t xml:space="preserve">BoutonLlorenteSaguerMalherbe2018</t>
  </si>
  <si>
    <t xml:space="preserve">§1 Introduction, §4 Veto literature, §6 Procedure</t>
  </si>
  <si>
    <t xml:space="preserve">Bouton, L., Llorente-Saguer, A. &amp; Malherbe, F. (2018). Get Rid of Unanimity Rule: The Superiority of Majority Rules with Veto Power. Journal of Political Economy 126(1): 107–149.</t>
  </si>
  <si>
    <t xml:space="preserve">https://doi.org/10.1086/695477</t>
  </si>
  <si>
    <t xml:space="preserve">Brams &amp; Fishburn (1978). Approval Voting</t>
  </si>
  <si>
    <t xml:space="preserve">Proposes approval voting: voters approve any number of candidates and the most approved wins; analyses its strategic and normative properties.</t>
  </si>
  <si>
    <t xml:space="preserve">BramsFishburn1978</t>
  </si>
  <si>
    <t xml:space="preserve">Brams, S. J. &amp; Fishburn, P. C. (1978). Approval Voting. American Political Science Review 72(3): 831–847.</t>
  </si>
  <si>
    <t xml:space="preserve">https://doi.org/10.2307/1955105</t>
  </si>
  <si>
    <t xml:space="preserve">Brams &amp; Kilgour (2001). Fallback Bargaining</t>
  </si>
  <si>
    <t xml:space="preserve">C28 Compromise by descent: fallback bargaining and majoritarian compromise</t>
  </si>
  <si>
    <t xml:space="preserve">Fallback bargaining: parties descend their rankings in lockstep until an option is common to all; Pareto-optimal and maximises the worst rank; with an impasse line it can end without agreement.</t>
  </si>
  <si>
    <t xml:space="preserve">BramsKilgour2001</t>
  </si>
  <si>
    <t xml:space="preserve">§2 Setting, §4 Veto literature, §5 Aggregation</t>
  </si>
  <si>
    <t xml:space="preserve">Brams, S. J. &amp; Kilgour, D. M. (2001). Fallback Bargaining. Group Decision and Negotiation 10(4): 287–316.</t>
  </si>
  <si>
    <t xml:space="preserve">https://doi.org/10.1023/A:1011252808608</t>
  </si>
  <si>
    <t xml:space="preserve">Brandl et al. (2016). Consistent Probabilistic Social Choice</t>
  </si>
  <si>
    <t xml:space="preserve">C11 Probabilistic social choice</t>
  </si>
  <si>
    <t xml:space="preserve">Maximal lotteries are characterised by population-consistency and composition-consistency.</t>
  </si>
  <si>
    <t xml:space="preserve">BrandlBrandtSeedig2016</t>
  </si>
  <si>
    <t xml:space="preserve">Brandl, F., Brandt, F. &amp; Seedig, H. G. (2016). Consistent Probabilistic Social Choice. Econometrica 84(5): 1839–1880.</t>
  </si>
  <si>
    <t xml:space="preserve">https://doi.org/10.3982/ECTA13337</t>
  </si>
  <si>
    <t xml:space="preserve">Brandt et al. (2016). Handbook of Computational Social Choice</t>
  </si>
  <si>
    <t xml:space="preserve">C03 Smith set and Condorcet completions
C07 Kemeny-Young and distance-based consensus
C14 Manipulation and its complexity</t>
  </si>
  <si>
    <t xml:space="preserve">Handbook of computational social choice: axioms, algorithms and complexity of voting rules, tournament solutions and manipulation.</t>
  </si>
  <si>
    <t xml:space="preserve">BrandtEtAl2016handbook</t>
  </si>
  <si>
    <t xml:space="preserve">Brandt, F., Conitzer, V., Endriss, U., Lang, J. &amp; Procaccia, A. D. (eds.) (2016). Handbook of Computational Social Choice. Cambridge University Press.</t>
  </si>
  <si>
    <t xml:space="preserve">https://doi.org/10.1017/CBO9781107446984</t>
  </si>
  <si>
    <t xml:space="preserve">Brandt et al. (2017). Optimal Bounds for the No-Show Paradox via SAT Solving</t>
  </si>
  <si>
    <t xml:space="preserve">C15 Participation and the no-show paradox</t>
  </si>
  <si>
    <t xml:space="preserve">SAT solving gives the optimal voter bound (12) for the no-show paradox of Condorcet-consistent rules.</t>
  </si>
  <si>
    <t xml:space="preserve">BrandtGeistPeters2017</t>
  </si>
  <si>
    <t xml:space="preserve">Brandt, F., Geist, C. &amp; Peters, D. (2017). Optimal Bounds for the No-Show Paradox via SAT Solving. Mathematical Social Sciences 90: 18–27.</t>
  </si>
  <si>
    <t xml:space="preserve">https://doi.org/10.1016/j.mathsocsci.2016.09.003</t>
  </si>
  <si>
    <t xml:space="preserve">Breitmoser &amp; Valasek (2024). Strategic Communication in Committees with Expressive Payoffs</t>
  </si>
  <si>
    <t xml:space="preserve">When members are responsible for their votes (expressive payoffs), unanimity can improve communication in committees.</t>
  </si>
  <si>
    <t xml:space="preserve">BreitmoserValasek2024</t>
  </si>
  <si>
    <t xml:space="preserve">§4 Veto literature, §6 Procedure, §8 Discussion</t>
  </si>
  <si>
    <t xml:space="preserve">Breitmoser, Y. &amp; Valasek, J. (2024). Strategic Communication in Committees with Expressive Payoffs. RAND Journal of Economics 55(1): 33–54.</t>
  </si>
  <si>
    <t xml:space="preserve">https://doi.org/10.1111/1756-2171.12457</t>
  </si>
  <si>
    <t xml:space="preserve">Buchanan &amp; Tullock (1962). The Calculus of Consent: Logical Foundations of Constitutional Democracy</t>
  </si>
  <si>
    <t xml:space="preserve">C19 Choice of the voting quota
C21 Veto players, status-quo bias and gridlock</t>
  </si>
  <si>
    <t xml:space="preserve">The optimal voting quota minimises the sum of external costs, which fall as the quota rises towards unanimity, and decision costs, which rise with it.</t>
  </si>
  <si>
    <t xml:space="preserve">BuchananTullock1962</t>
  </si>
  <si>
    <t xml:space="preserve">§2 Setting, §3 Limits</t>
  </si>
  <si>
    <t xml:space="preserve">Buchanan, J. M. &amp; Tullock, G. (1962). The Calculus of Consent: Logical Foundations of Constitutional Democracy. University of Michigan Press.</t>
  </si>
  <si>
    <t xml:space="preserve">https://www.loc.gov/item/62007705/</t>
  </si>
  <si>
    <t xml:space="preserve">Cailloux et al. (2023). Compromising as an Equal Loss Principle</t>
  </si>
  <si>
    <t xml:space="preserve">C29 Two-party compromise rules
C28 Compromise by descent: fallback bargaining and majoritarian compromise</t>
  </si>
  <si>
    <t xml:space="preserve">Defines compromise as an equal-loss principle and shows that several 'compromise' rules fail to select one once the result is known.</t>
  </si>
  <si>
    <t xml:space="preserve">CaillouxNapolitanoSanver2022</t>
  </si>
  <si>
    <t xml:space="preserve">Cailloux, O., Napolitano, B. &amp; Sanver, M. R. (2023). Compromising as an Equal Loss Principle. Review of Economic Design 27(3): 547–560.</t>
  </si>
  <si>
    <t xml:space="preserve">https://doi.org/10.1007/s10058-022-00302-w</t>
  </si>
  <si>
    <t xml:space="preserve">Caplin &amp; Nalebuff (1988). On 64%-Majority Rule</t>
  </si>
  <si>
    <t xml:space="preserve">C18 Supermajority, stability and the core
C19 Choice of the voting quota</t>
  </si>
  <si>
    <t xml:space="preserve">With a concave density of ideal points, a 64% majority (1 - 1/e) has an unbeatable proposal and no cycles.</t>
  </si>
  <si>
    <t xml:space="preserve">CaplinNalebuff1988</t>
  </si>
  <si>
    <t xml:space="preserve">§3 Limits, §6 Procedure</t>
  </si>
  <si>
    <t xml:space="preserve">Caplin, A. &amp; Nalebuff, B. (1988). On 64%-Majority Rule. Econometrica 56(4): 787–814.</t>
  </si>
  <si>
    <t xml:space="preserve">https://doi.org/10.2307/1912699</t>
  </si>
  <si>
    <t xml:space="preserve">C34 Veto budgets and storable votes</t>
  </si>
  <si>
    <t xml:space="preserve">Storable votes: voters can save votes across decisions and spend them where they care most.</t>
  </si>
  <si>
    <t xml:space="preserve">Casella2005</t>
  </si>
  <si>
    <t xml:space="preserve">§6 Procedure, §8 Discussion</t>
  </si>
  <si>
    <t xml:space="preserve">Casella, A. (2005). Storable Votes. Games and Economic Behavior 51(2): 391–419.</t>
  </si>
  <si>
    <t xml:space="preserve">https://doi.org/10.1016/j.geb.2004.09.009</t>
  </si>
  <si>
    <t xml:space="preserve">Condorcet (1785). Essai sur l'application de l'analyse à la probabilité des décisions rendues à la pluralité des voix</t>
  </si>
  <si>
    <t xml:space="preserve">C01 Condorcet winner and the majority principle
C02 Majority cycles and their frequency</t>
  </si>
  <si>
    <t xml:space="preserve">Founding text of mathematical voting theory: group majorities can be cyclic (the Condorcet paradox); the candidate who beats each other in pairwise majority should win.</t>
  </si>
  <si>
    <t xml:space="preserve">Condorcet1785</t>
  </si>
  <si>
    <t xml:space="preserve">§1 Introduction, §3 Limits</t>
  </si>
  <si>
    <t xml:space="preserve">Condorcet (1785). Essai sur l'application de l'analyse à la probabilité des décisions rendues à la pluralité des voix. Imprimerie Royale.</t>
  </si>
  <si>
    <t xml:space="preserve">https://www.loc.gov/item/06005363/</t>
  </si>
  <si>
    <t xml:space="preserve">Debian Project (2022). Constitution for the Debian Project (v1.9)</t>
  </si>
  <si>
    <t xml:space="preserve">C31 Institutional design of vetoes
C04 Schulze method</t>
  </si>
  <si>
    <t xml:space="preserve">Debian general resolutions: ranked ballots including 'None of the above' as default, quorum and supermajority against the default, Schulze count.</t>
  </si>
  <si>
    <t xml:space="preserve">Debian2024constitution</t>
  </si>
  <si>
    <t xml:space="preserve">§2 Setting, §4 Veto literature, §5 Aggregation, §8 Discussion</t>
  </si>
  <si>
    <t xml:space="preserve">Debian Project (2022). Constitution for the Debian Project (v1.9). Version 1.9, ratified 26 March 2022, Appendix A: Standard Resolution Procedure. Accessed October 2026.</t>
  </si>
  <si>
    <t xml:space="preserve">https://www.debian.org/devel/constitution</t>
  </si>
  <si>
    <t xml:space="preserve">Dziuda &amp; Loeper (2016). Dynamic Collective Choice with Endogenous Status Quo</t>
  </si>
  <si>
    <t xml:space="preserve">With an endogenous status quo, collective choice becomes inert and inefficient: today's decision constrains tomorrow's.</t>
  </si>
  <si>
    <t xml:space="preserve">DziudaLoeper2016</t>
  </si>
  <si>
    <t xml:space="preserve">§1 Introduction, §4 Veto literature, §8 Discussion</t>
  </si>
  <si>
    <t xml:space="preserve">Dziuda, W. &amp; Loeper, A. (2016). Dynamic Collective Choice with Endogenous Status Quo. Journal of Political Economy 124(4): 1148–1186.</t>
  </si>
  <si>
    <t xml:space="preserve">https://doi.org/10.1086/686747</t>
  </si>
  <si>
    <t xml:space="preserve">Elkind et al. (2015). Distance Rationalization of Voting Rules</t>
  </si>
  <si>
    <t xml:space="preserve">C07 Kemeny-Young and distance-based consensus</t>
  </si>
  <si>
    <t xml:space="preserve">Many voting rules elect the winner of the nearest consensus profile under some distance: choosing a rule is choosing what counts as consensus.</t>
  </si>
  <si>
    <t xml:space="preserve">ElkindFaliszewskiSlinko2015</t>
  </si>
  <si>
    <t xml:space="preserve">Elkind, E., Faliszewski, P. &amp; Slinko, A. (2015). Distance Rationalization of Voting Rules. Social Choice and Welfare 45(2): 345–377.</t>
  </si>
  <si>
    <t xml:space="preserve">https://doi.org/10.1007/s00355-015-0892-5</t>
  </si>
  <si>
    <t xml:space="preserve">European Union (2016). Consolidated Version of the Treaty on European Union, Article 16</t>
  </si>
  <si>
    <t xml:space="preserve">C31 Institutional design of vetoes</t>
  </si>
  <si>
    <t xml:space="preserve">EU Council qualified majority: 55% of members and 65% of the population; a blocking minority needs at least four members.</t>
  </si>
  <si>
    <t xml:space="preserve">TEU2016art16</t>
  </si>
  <si>
    <t xml:space="preserve">§2 Setting, §4 Veto literature</t>
  </si>
  <si>
    <t xml:space="preserve">European Union (2016). Consolidated Version of the Treaty on European Union, Article 16. Official Journal of the European Union, C 202, 7.6.2016, p. 24.</t>
  </si>
  <si>
    <t xml:space="preserve">http://data.europa.eu/eli/treaty/teu_2016/oj</t>
  </si>
  <si>
    <t xml:space="preserve">Faliszewski &amp; Procaccia (2010). AI's War on Manipulation: Are We Winning?</t>
  </si>
  <si>
    <t xml:space="preserve">Survey: worst-case hardness of manipulation does not protect typical elections.</t>
  </si>
  <si>
    <t xml:space="preserve">FaliszewskiProcaccia2010</t>
  </si>
  <si>
    <t xml:space="preserve">Faliszewski, P. &amp; Procaccia, A. D. (2010). AI's War on Manipulation: Are We Winning?. AI Magazine 31(4): 53–64.</t>
  </si>
  <si>
    <t xml:space="preserve">https://doi.org/10.1609/aimag.v31i4.2314</t>
  </si>
  <si>
    <t xml:space="preserve">Felsenthal &amp; Machover (2008). The Majority Judgement Voting Procedure: A Critical Evaluation</t>
  </si>
  <si>
    <t xml:space="preserve">C10 Evaluative rules: approval and Majority Judgment
C14 Manipulation and its complexity</t>
  </si>
  <si>
    <t xml:space="preserve">Critical evaluation of Majority Judgment: the paradoxes and properties it violates.</t>
  </si>
  <si>
    <t xml:space="preserve">FelsenthalMachover2008</t>
  </si>
  <si>
    <t xml:space="preserve">Felsenthal, D. S. &amp; Machover, M. (2008). The Majority Judgement Voting Procedure: A Critical Evaluation. Homo Oeconomicus 25(3/4): 319–334.</t>
  </si>
  <si>
    <t xml:space="preserve">https://researchonline.lse.ac.uk/id/eprint/24213/</t>
  </si>
  <si>
    <t xml:space="preserve">Felsenthal (2012). Review of Paradoxes Afflicting Procedures for Electing a Single Candidate</t>
  </si>
  <si>
    <t xml:space="preserve">C09 Positional and runoff rules
C12 Independence of clones and agenda flooding
C15 Participation and the no-show paradox</t>
  </si>
  <si>
    <t xml:space="preserve">Systematic review of the paradoxes affecting single-winner procedures: non-monotonicity, no-show, clone effects, and others.</t>
  </si>
  <si>
    <t xml:space="preserve">Felsenthal2012review</t>
  </si>
  <si>
    <t xml:space="preserve">Felsenthal, D. S. (2012). Review of Paradoxes Afflicting Procedures for Electing a Single Candidate. Electoral Systems: Paradoxes, Assumptions, and Procedures: 19–91.</t>
  </si>
  <si>
    <t xml:space="preserve">https://doi.org/10.1007/978-3-642-20441-8_3</t>
  </si>
  <si>
    <t xml:space="preserve">Fishburn (1977). Condorcet Social Choice Functions</t>
  </si>
  <si>
    <t xml:space="preserve">C03 Smith set and Condorcet completions
C08 Copeland and Minimax</t>
  </si>
  <si>
    <t xml:space="preserve">Classification and properties of Condorcet social choice functions.</t>
  </si>
  <si>
    <t xml:space="preserve">Fishburn1977</t>
  </si>
  <si>
    <t xml:space="preserve">§2 Setting</t>
  </si>
  <si>
    <t xml:space="preserve">Fishburn, P. C. (1977). Condorcet Social Choice Functions. SIAM Journal on Applied Mathematics 33(3): 469–489.</t>
  </si>
  <si>
    <t xml:space="preserve">https://doi.org/10.1137/0133030</t>
  </si>
  <si>
    <t xml:space="preserve">Fishburn (1984). Probabilistic Social Choice Based on Simple Voting Comparisons</t>
  </si>
  <si>
    <t xml:space="preserve">Probabilistic social choice based on pairwise majorities, the origin of maximal lotteries.</t>
  </si>
  <si>
    <t xml:space="preserve">Fishburn1984</t>
  </si>
  <si>
    <t xml:space="preserve">Fishburn, P. C. (1984). Probabilistic Social Choice Based on Simple Voting Comparisons. Review of Economic Studies 51(4): 683–692.</t>
  </si>
  <si>
    <t xml:space="preserve">https://doi.org/10.2307/2297786</t>
  </si>
  <si>
    <t xml:space="preserve">Gehrlein &amp; Fishburn (1976). The Probability of the Paradox of Voting: A Computable Solution</t>
  </si>
  <si>
    <t xml:space="preserve">C02 Majority cycles and their frequency
C32 Evaluating rules with simulations and data</t>
  </si>
  <si>
    <t xml:space="preserve">A computable solution for the probability of the voting paradox under random preferences.</t>
  </si>
  <si>
    <t xml:space="preserve">GehrleinFishburn1976</t>
  </si>
  <si>
    <t xml:space="preserve">Gehrlein, W. V. &amp; Fishburn, P. C. (1976). The Probability of the Paradox of Voting: A Computable Solution. Journal of Economic Theory 13(1): 14–25.</t>
  </si>
  <si>
    <t xml:space="preserve">https://doi.org/10.1016/0022-0531(76)90063-6</t>
  </si>
  <si>
    <t xml:space="preserve">Gehrlein (2006). Condorcet's Paradox</t>
  </si>
  <si>
    <t xml:space="preserve">Monograph on the probability of Condorcet's paradox under various probability models of preferences.</t>
  </si>
  <si>
    <t xml:space="preserve">Gehrlein2006</t>
  </si>
  <si>
    <t xml:space="preserve">Gehrlein, W. V. (2006). Condorcet's Paradox. Springer.</t>
  </si>
  <si>
    <t xml:space="preserve">https://doi.org/10.1007/3-540-33799-7</t>
  </si>
  <si>
    <t xml:space="preserve">Gersbach &amp; Valkanova (2024). Voting with Random Proposers: Two Rounds May Suffice</t>
  </si>
  <si>
    <t xml:space="preserve">Voting with random proposers: two rounds may suffice to reach the Condorcet winner.</t>
  </si>
  <si>
    <t xml:space="preserve">GersbachValkanova2024</t>
  </si>
  <si>
    <t xml:space="preserve">Gersbach, H. &amp; Valkanova, K. (2024). Voting with Random Proposers: Two Rounds May Suffice. arXiv:2410.20476.</t>
  </si>
  <si>
    <t xml:space="preserve">https://arxiv.org/abs/2410.20476</t>
  </si>
  <si>
    <t xml:space="preserve">Gersbach (2024). Forms of New Democracy</t>
  </si>
  <si>
    <t xml:space="preserve">C24 Number of rounds and fast proposal procedures
C22 Agenda setting and proposal power</t>
  </si>
  <si>
    <t xml:space="preserve">New forms of democratic procedure designed to improve collective decisions.</t>
  </si>
  <si>
    <t xml:space="preserve">Gersbach2024forms</t>
  </si>
  <si>
    <t xml:space="preserve">Gersbach, H. (2024). Forms of New Democracy. Social Choice and Welfare 62(4): 799–837.</t>
  </si>
  <si>
    <t xml:space="preserve">https://doi.org/10.1007/s00355-023-01505-y</t>
  </si>
  <si>
    <t xml:space="preserve">Gersbach (2025). Propose or Vote: A Canonical Democratic Procedure</t>
  </si>
  <si>
    <t xml:space="preserve">C24 Number of rounds and fast proposal procedures
C16 Single-peaked preferences and the median voter</t>
  </si>
  <si>
    <t xml:space="preserve">Propose or vote: a one-round procedure in which each member either proposes or votes; it reaches the Condorcet winner under symmetric single-peaked preferences.</t>
  </si>
  <si>
    <t xml:space="preserve">Gersbach2025propose</t>
  </si>
  <si>
    <t xml:space="preserve">Gersbach, H. (2025). Propose or Vote: A Canonical Democratic Procedure. arXiv:2506.05998; also CEPR Discussion Paper DP21026.</t>
  </si>
  <si>
    <t xml:space="preserve">https://arxiv.org/abs/2506.05998</t>
  </si>
  <si>
    <t xml:space="preserve">Gibbard (1973). Manipulation of Voting Schemes: A General Result</t>
  </si>
  <si>
    <t xml:space="preserve">C13 Impossibility theorems
C14 Manipulation and its complexity</t>
  </si>
  <si>
    <t xml:space="preserve">Every non-dictatorial voting scheme with at least three possible outcomes can be manipulated: some voter gains by misreporting.</t>
  </si>
  <si>
    <t xml:space="preserve">Gibbard1973</t>
  </si>
  <si>
    <t xml:space="preserve">§1 Introduction, §3 Limits, §4 Veto literature</t>
  </si>
  <si>
    <t xml:space="preserve">Gibbard, A. (1973). Manipulation of Voting Schemes: A General Result. Econometrica 41(4): 587–601.</t>
  </si>
  <si>
    <t xml:space="preserve">https://doi.org/10.2307/1914083</t>
  </si>
  <si>
    <t xml:space="preserve">Glynia et al. (2026). Unanimity versus Majority: Proposing under Incomplete Information</t>
  </si>
  <si>
    <t xml:space="preserve">C20 Unanimity versus majority with veto
C22 Agenda setting and proposal power</t>
  </si>
  <si>
    <t xml:space="preserve">Unanimity against majority when proposers have incomplete information: the comparison depends on what proposers know.</t>
  </si>
  <si>
    <t xml:space="preserve">GlyniaThumXefteris2026</t>
  </si>
  <si>
    <t xml:space="preserve">Glynia, N., Thum, M. &amp; Xefteris, D. (2026). Unanimity versus Majority: Proposing under Incomplete Information. Public Choice 208(3–4): 691–719.</t>
  </si>
  <si>
    <t xml:space="preserve">https://doi.org/10.1007/s11127-026-01383-9</t>
  </si>
  <si>
    <t xml:space="preserve">Green-Armytage et al. (2016). Statistical Evaluation of Voting Rules</t>
  </si>
  <si>
    <t xml:space="preserve">C32 Evaluating rules with simulations and data
C14 Manipulation and its complexity</t>
  </si>
  <si>
    <t xml:space="preserve">54 rules compared on survey data and simulations: IRV and Condorcet-IRV hybrids are the least manipulable; most rules have similar utilitarian efficiency.</t>
  </si>
  <si>
    <t xml:space="preserve">GreenArmytageTidemanCosman2016</t>
  </si>
  <si>
    <t xml:space="preserve">§3 Limits, §5 Aggregation, §7 Simulation, App. C Simulation</t>
  </si>
  <si>
    <t xml:space="preserve">Green-Armytage, J., Tideman, T. N. &amp; Cosman, R. (2016). Statistical Evaluation of Voting Rules. Social Choice and Welfare 46(1): 183–212.</t>
  </si>
  <si>
    <t xml:space="preserve">https://doi.org/10.1007/s00355-015-0909-0</t>
  </si>
  <si>
    <t xml:space="preserve">Greenberg (1979). Consistent Majority Rules over Compact Sets of Alternatives</t>
  </si>
  <si>
    <t xml:space="preserve">C18 Supermajority, stability and the core</t>
  </si>
  <si>
    <t xml:space="preserve">A q-majority rule has an undominated option for every profile in d dimensions if and only if q exceeds d/(d+1) (with T options, (T-1)/T). Basis of Proposition 8.</t>
  </si>
  <si>
    <t xml:space="preserve">Greenberg1979</t>
  </si>
  <si>
    <t xml:space="preserve">Greenberg, J. (1979). Consistent Majority Rules over Compact Sets of Alternatives. Econometrica 47(3): 627–636.</t>
  </si>
  <si>
    <t xml:space="preserve">https://doi.org/10.2307/1910410</t>
  </si>
  <si>
    <t xml:space="preserve">Guilbaud (1952). Les théories de l'intérêt général et le problème logique de l'agrégation</t>
  </si>
  <si>
    <t xml:space="preserve">C02 Majority cycles and their frequency</t>
  </si>
  <si>
    <t xml:space="preserve">Probability of the Condorcet paradox for three options under random preferences, about 8.8% for a large electorate.</t>
  </si>
  <si>
    <t xml:space="preserve">Guilbaud1952</t>
  </si>
  <si>
    <t xml:space="preserve">Guilbaud, G.-T. (1952). Les théories de l'intérêt général et le problème logique de l'agrégation. Économie appliquée 5(4): 501–584.</t>
  </si>
  <si>
    <t xml:space="preserve">https://doi.org/10.3406/ecoap.1952.3831</t>
  </si>
  <si>
    <t xml:space="preserve">Harrington (1990). The Power of the Proposal Maker in a Model of Endogenous Agenda Formation</t>
  </si>
  <si>
    <t xml:space="preserve">C22 Agenda setting and proposal power</t>
  </si>
  <si>
    <t xml:space="preserve">When the agenda is formed endogenously, the proposal maker holds substantial power.</t>
  </si>
  <si>
    <t xml:space="preserve">Harrington1990</t>
  </si>
  <si>
    <t xml:space="preserve">Harrington, J. J. E. (1990). The Power of the Proposal Maker in a Model of Endogenous Agenda Formation. Public Choice 64(1): 1–20.</t>
  </si>
  <si>
    <t xml:space="preserve">https://doi.org/10.1007/BF00125914</t>
  </si>
  <si>
    <t xml:space="preserve">Holliday &amp; Pacuit (2023). Split Cycle: A New Condorcet-Consistent Voting Method Independent of Clones and Immune to Spoilers</t>
  </si>
  <si>
    <t xml:space="preserve">C06 Split Cycle and Stable Voting
C12 Independence of clones and agenda flooding
C15 Participation and the no-show paradox</t>
  </si>
  <si>
    <t xml:space="preserve">Split Cycle discards the weakest majority in every cycle: independent of clones, immune to spoilers, satisfies positive and negative involvement; often not single-winner.</t>
  </si>
  <si>
    <t xml:space="preserve">HollidayPacuit2023splitcycle</t>
  </si>
  <si>
    <t xml:space="preserve">§1 Introduction, §5 Aggregation, App. B Algorithms</t>
  </si>
  <si>
    <t xml:space="preserve">Holliday, W. H. &amp; Pacuit, E. (2023). Split Cycle: A New Condorcet-Consistent Voting Method Independent of Clones and Immune to Spoilers. Public Choice 197(1–2): 1–62.</t>
  </si>
  <si>
    <t xml:space="preserve">https://doi.org/10.1007/s11127-023-01042-3</t>
  </si>
  <si>
    <t xml:space="preserve">Holliday &amp; Pacuit (2023). Stable Voting</t>
  </si>
  <si>
    <t xml:space="preserve">C06 Split Cycle and Stable Voting</t>
  </si>
  <si>
    <t xml:space="preserve">Stable Voting, a single-winner refinement of Split Cycle.</t>
  </si>
  <si>
    <t xml:space="preserve">HollidayPacuit2023stable</t>
  </si>
  <si>
    <t xml:space="preserve">Holliday, W. H. &amp; Pacuit, E. (2023). Stable Voting. Constitutional Political Economy 34(3): 421–433.</t>
  </si>
  <si>
    <t xml:space="preserve">https://doi.org/10.1007/s10602-022-09383-9</t>
  </si>
  <si>
    <t xml:space="preserve">Hurwicz &amp; Sertel (1999). Designing Mechanisms, in Particular for Electoral Systems: The Majoritarian Compromise</t>
  </si>
  <si>
    <t xml:space="preserve">Proposes the majoritarian compromise as an electoral mechanism and discusses its design.</t>
  </si>
  <si>
    <t xml:space="preserve">HurwiczSertel1999</t>
  </si>
  <si>
    <t xml:space="preserve">Hurwicz, L. &amp; Sertel, M. R. (1999). Designing Mechanisms, in Particular for Electoral Systems: The Majoritarian Compromise. Contemporary Economic Issues, Volume 4: Economic Behaviour and Design: 69–88.</t>
  </si>
  <si>
    <t xml:space="preserve">https://doi.org/10.1007/978-1-349-14540-9_4</t>
  </si>
  <si>
    <t xml:space="preserve">Ianovski &amp; Kondratev (2021). Computing the Proportional Veto Core</t>
  </si>
  <si>
    <t xml:space="preserve">C26 Proportional veto and the veto core</t>
  </si>
  <si>
    <t xml:space="preserve">Computes the proportional veto core in polynomial time and gives an anonymous, neutral rule that selects from it; a pessimist can manipulate the core in polynomial time.</t>
  </si>
  <si>
    <t xml:space="preserve">IanovskiKondratev2021</t>
  </si>
  <si>
    <t xml:space="preserve">§2 Setting, §4 Veto literature, App. B Algorithms</t>
  </si>
  <si>
    <t xml:space="preserve">Ianovski, E. &amp; Kondratev, A. Y. (2021). Computing the Proportional Veto Core. Proceedings of the AAAI Conference on Artificial Intelligence 35(6): 5489–5496. Extended version: arXiv:2003.09153.</t>
  </si>
  <si>
    <t xml:space="preserve">https://doi.org/10.1609/aaai.v35i6.16691</t>
  </si>
  <si>
    <t xml:space="preserve">Kagel et al. (2010). Veto Power in Committees: An Experimental Study</t>
  </si>
  <si>
    <t xml:space="preserve">C33 Communication, accountability and experiments in committees
C20 Unanimity versus majority with veto
C21 Veto players, status-quo bias and gridlock</t>
  </si>
  <si>
    <t xml:space="preserve">Experiment: veto players capture more of the surplus, and committees with vetoers take longer to agree.</t>
  </si>
  <si>
    <t xml:space="preserve">KagelSungWinter2010</t>
  </si>
  <si>
    <t xml:space="preserve">Kagel, J. H., Sung, H. &amp; Winter, E. (2010). Veto Power in Committees: An Experimental Study. Experimental Economics 13(2): 167–188.</t>
  </si>
  <si>
    <t xml:space="preserve">https://doi.org/10.1007/s10683-010-9234-8</t>
  </si>
  <si>
    <t xml:space="preserve">C35 Delegation in veto bargaining</t>
  </si>
  <si>
    <t xml:space="preserve">With a veto player and incomplete information, the optimal mechanism delegates an interval of options to the vetoer.</t>
  </si>
  <si>
    <t xml:space="preserve">KartikKleinerVanWeelden2021</t>
  </si>
  <si>
    <t xml:space="preserve">Kartik, N., Kleiner, A. &amp; Van Weelden, R. (2021). Delegation in Veto Bargaining. American Economic Review 111(12): 4046–4087.</t>
  </si>
  <si>
    <t xml:space="preserve">https://doi.org/10.1257/aer.20201817</t>
  </si>
  <si>
    <t xml:space="preserve">Kemeny (1959). Mathematics without Numbers</t>
  </si>
  <si>
    <t xml:space="preserve">Proposes the ranking that minimises the total number of pairwise disagreements with the voters' rankings (the Kemeny rule).</t>
  </si>
  <si>
    <t xml:space="preserve">Kemeny1959</t>
  </si>
  <si>
    <t xml:space="preserve">Kemeny, J. G. (1959). Mathematics without Numbers. Daedalus 88(4): 577–591.</t>
  </si>
  <si>
    <t xml:space="preserve">https://www.jstor.org/stable/20026529</t>
  </si>
  <si>
    <t xml:space="preserve">Kondratev &amp; Ianovski (2024). Veto Core Consistent Preference Aggregation</t>
  </si>
  <si>
    <t xml:space="preserve">C26 Proportional veto and the veto core
C15 Participation and the no-show paradox</t>
  </si>
  <si>
    <t xml:space="preserve">Families of rules that always select from the veto core, examined against monotonicity, participation and independence of unanimous losers.</t>
  </si>
  <si>
    <t xml:space="preserve">KondratevIanovski2024</t>
  </si>
  <si>
    <t xml:space="preserve">Kondratev, A. Y. &amp; Ianovski, E. (2024). Veto Core Consistent Preference Aggregation. Proceedings of the 23rd International Conference on Autonomous Agents and Multiagent Systems (AAMAS 2024): 1020–1028.</t>
  </si>
  <si>
    <t xml:space="preserve">https://doi.org/10.65109/hmhq1427</t>
  </si>
  <si>
    <t xml:space="preserve">C27 Majority power versus veto power
C26 Proportional veto and the veto core</t>
  </si>
  <si>
    <t xml:space="preserve">Measures the majority power and veto power of common rules: more majority power usually comes with more veto power; proportional veto, Borda and Black's rule favour minorities.</t>
  </si>
  <si>
    <t xml:space="preserve">KondratevNesterov2020</t>
  </si>
  <si>
    <t xml:space="preserve">Kondratev, A. Y. &amp; Nesterov, A. S. (2020). Measuring Majority Power and Veto Power of Voting Rules. Public Choice 183(1–2): 187–210. Preprint arXiv:1811.06739.</t>
  </si>
  <si>
    <t xml:space="preserve">https://doi.org/10.1007/s11127-019-00697-1</t>
  </si>
  <si>
    <t xml:space="preserve">Krick (2017). The Myth of Effective Veto Power under the Rule of Consensus: Dynamics and Democratic Legitimacy of Collective Decision-Making by ``Tacit Consent''</t>
  </si>
  <si>
    <t xml:space="preserve">C30 Consensus decision-making in practice</t>
  </si>
  <si>
    <t xml:space="preserve">Under tacit consent, effective veto power is much smaller than formal power: social pressure and a fallback majority vote constrain objections.</t>
  </si>
  <si>
    <t xml:space="preserve">Krick2017</t>
  </si>
  <si>
    <t xml:space="preserve">Krick, E. (2017). The Myth of Effective Veto Power under the Rule of Consensus: Dynamics and Democratic Legitimacy of Collective Decision-Making by ``Tacit Consent''. Négociations: 109–128.</t>
  </si>
  <si>
    <t xml:space="preserve">https://doi.org/10.3917/neg.027.0109</t>
  </si>
  <si>
    <t xml:space="preserve">Laffond et al. (1993). The Bipartisan Set of a Tournament Game</t>
  </si>
  <si>
    <t xml:space="preserve">C11 Probabilistic social choice
C03 Smith set and Condorcet completions</t>
  </si>
  <si>
    <t xml:space="preserve">The bipartisan set: the support of the optimal mixed strategy of the majority tournament game, a Condorcet-consistent tournament solution.</t>
  </si>
  <si>
    <t xml:space="preserve">LaffondLaslierLeBreton1993</t>
  </si>
  <si>
    <t xml:space="preserve">Laffond, G., Laslier, J.-F. &amp; Le Breton, M. (1993). The Bipartisan Set of a Tournament Game. Games and Economic Behavior 5(1): 182–201.</t>
  </si>
  <si>
    <t xml:space="preserve">https://doi.org/10.1006/game.1993.1010</t>
  </si>
  <si>
    <t xml:space="preserve">Laing &amp; Slotznick (1991). When Anyone Can Veto: A Laboratory Study of Committees Governed by Unanimous Rule</t>
  </si>
  <si>
    <t xml:space="preserve">Laboratory committees in which anyone can veto (unanimity rule).</t>
  </si>
  <si>
    <t xml:space="preserve">LaingSlotznick1991</t>
  </si>
  <si>
    <t xml:space="preserve">Laing, J. D. &amp; Slotznick, B. (1991). When Anyone Can Veto: A Laboratory Study of Committees Governed by Unanimous Rule. Behavioral Science 36(3): 179–195.</t>
  </si>
  <si>
    <t xml:space="preserve">https://doi.org/10.1002/bs.3830360303</t>
  </si>
  <si>
    <t xml:space="preserve">Laslier &amp; Sanver (2010). Handbook on Approval Voting</t>
  </si>
  <si>
    <t xml:space="preserve">Handbook on approval voting: theory, experiments and practice.</t>
  </si>
  <si>
    <t xml:space="preserve">LaslierSanver2010</t>
  </si>
  <si>
    <t xml:space="preserve">Laslier, J.-F. &amp; Sanver, M. R. (eds.) (2010). Handbook on Approval Voting. Springer.</t>
  </si>
  <si>
    <t xml:space="preserve">https://doi.org/10.1007/978-3-642-02839-7</t>
  </si>
  <si>
    <t xml:space="preserve">Laslier (2012). And the Loser Is… Plurality Voting</t>
  </si>
  <si>
    <t xml:space="preserve">C09 Positional and runoff rules
C10 Evaluative rules: approval and Majority Judgment
C32 Evaluating rules with simulations and data</t>
  </si>
  <si>
    <t xml:space="preserve">Experts in voting theory voted on voting rules at a 2010 workshop: plurality came last.</t>
  </si>
  <si>
    <t xml:space="preserve">Laslier2012loser</t>
  </si>
  <si>
    <t xml:space="preserve">Laslier, J.-F. (2012). And the Loser Is… Plurality Voting. Electoral Systems: Paradoxes, Assumptions, and Procedures: 327–351.</t>
  </si>
  <si>
    <t xml:space="preserve">https://doi.org/10.1007/978-3-642-20441-8_13</t>
  </si>
  <si>
    <t xml:space="preserve">Laslier et al. (2021). A Solution to the Two-Person Implementation Problem</t>
  </si>
  <si>
    <t xml:space="preserve">Veto-rank, a solution to the two-person implementation problem that selects compromise outcomes.</t>
  </si>
  <si>
    <t xml:space="preserve">LaslierNunezSanver2021</t>
  </si>
  <si>
    <t xml:space="preserve">Laslier, J.-F., Núñez, M. &amp; Sanver, M. R. (2021). A Solution to the Two-Person Implementation Problem. Journal of Economic Theory 194: 105261.</t>
  </si>
  <si>
    <t xml:space="preserve">https://doi.org/10.1016/j.jet.2021.105261</t>
  </si>
  <si>
    <t xml:space="preserve">Mallows (1957). Non-Null Ranking Models. I</t>
  </si>
  <si>
    <t xml:space="preserve">C32 Evaluating rules with simulations and data</t>
  </si>
  <si>
    <t xml:space="preserve">A ranking model in which rankings are more likely the closer they are to a central ranking; a standard generator of structured preferences (not yet cited in the note).</t>
  </si>
  <si>
    <t xml:space="preserve">Mallows1957</t>
  </si>
  <si>
    <t xml:space="preserve">not cited yet</t>
  </si>
  <si>
    <t xml:space="preserve">Mallows, C. L. (1957). Non-Null Ranking Models. I. Biometrika 44(1–2): 114–130.</t>
  </si>
  <si>
    <t xml:space="preserve">https://doi.org/10.1093/biomet/44.1-2.114</t>
  </si>
  <si>
    <t xml:space="preserve">Mattei &amp; Walsh (2013). PrefLib: A Library for Preferences</t>
  </si>
  <si>
    <t xml:space="preserve">PrefLib, a public library of real preference data for testing voting rules.</t>
  </si>
  <si>
    <t xml:space="preserve">MatteiWalsh2013</t>
  </si>
  <si>
    <t xml:space="preserve">§7 Simulation, §8 Discussion</t>
  </si>
  <si>
    <t xml:space="preserve">Mattei, N. &amp; Walsh, T. (2013). PrefLib: A Library for Preferences. Algorithmic Decision Theory (ADT 2013) 8176: 259–270.</t>
  </si>
  <si>
    <t xml:space="preserve">https://doi.org/10.1007/978-3-642-41575-3_20</t>
  </si>
  <si>
    <t xml:space="preserve">May (1952). A Set of Independent Necessary and Sufficient Conditions for Simple Majority Decision</t>
  </si>
  <si>
    <t xml:space="preserve">C01 Condorcet winner and the majority principle</t>
  </si>
  <si>
    <t xml:space="preserve">Between two options, simple majority is the only rule that is anonymous, neutral and positively responsive.</t>
  </si>
  <si>
    <t xml:space="preserve">May1952</t>
  </si>
  <si>
    <t xml:space="preserve">May, K. O. (1952). A Set of Independent Necessary and Sufficient Conditions for Simple Majority Decision. Econometrica 20(4): 680–684.</t>
  </si>
  <si>
    <t xml:space="preserve">https://doi.org/10.2307/1907651</t>
  </si>
  <si>
    <t xml:space="preserve">McKelvey (1976). Intransitivities in Multidimensional Voting Models and Some Implications for Agenda Control</t>
  </si>
  <si>
    <t xml:space="preserve">C17 Spatial voting, chaos and agenda control
C22 Agenda setting and proposal power</t>
  </si>
  <si>
    <t xml:space="preserve">When no majority equilibrium exists in two or more dimensions, majority cycles span the whole space: an agenda setter can reach almost any outcome.</t>
  </si>
  <si>
    <t xml:space="preserve">McKelvey1976</t>
  </si>
  <si>
    <t xml:space="preserve">§3 Limits, §4 Veto literature</t>
  </si>
  <si>
    <t xml:space="preserve">McKelvey, R. D. (1976). Intransitivities in Multidimensional Voting Models and Some Implications for Agenda Control. Journal of Economic Theory 12(3): 472–482.</t>
  </si>
  <si>
    <t xml:space="preserve">https://doi.org/10.1016/0022-0531(76)90040-5</t>
  </si>
  <si>
    <t xml:space="preserve">Merrill (1984). A Comparison of Efficiency of Multicandidate Electoral Systems</t>
  </si>
  <si>
    <t xml:space="preserve">C32 Evaluating rules with simulations and data
C09 Positional and runoff rules</t>
  </si>
  <si>
    <t xml:space="preserve">Compares multi-candidate rules by simulation and defines social utility efficiency, the efficiency measure used in Section 7.</t>
  </si>
  <si>
    <t xml:space="preserve">Merrill1984</t>
  </si>
  <si>
    <t xml:space="preserve">§7 Simulation, App. C Simulation</t>
  </si>
  <si>
    <t xml:space="preserve">Merrill, I. S. (1984). A Comparison of Efficiency of Multicandidate Electoral Systems. American Journal of Political Science 28(1): 23–48.</t>
  </si>
  <si>
    <t xml:space="preserve">https://doi.org/10.2307/2110786</t>
  </si>
  <si>
    <t xml:space="preserve">Miettinen &amp; Vanberg (2025). Commitment and Conflict in Unanimity Bargaining</t>
  </si>
  <si>
    <t xml:space="preserve">In unanimity bargaining, the possibility of commitment creates conflict and inefficient delay.</t>
  </si>
  <si>
    <t xml:space="preserve">MiettinenVanberg2025</t>
  </si>
  <si>
    <t xml:space="preserve">§1 Introduction, §4 Veto literature</t>
  </si>
  <si>
    <t xml:space="preserve">Miettinen, T. &amp; Vanberg, C. (2025). Commitment and Conflict in Unanimity Bargaining. American Economic Journal: Microeconomics 17(1): 206–237.</t>
  </si>
  <si>
    <t xml:space="preserve">https://doi.org/10.1257/mic.20230208</t>
  </si>
  <si>
    <t xml:space="preserve">Moulin (1981). The Proportional Veto Principle</t>
  </si>
  <si>
    <t xml:space="preserve">The proportional veto principle: a coalition can veto a number of options proportional to its size, and the resulting core is never empty.</t>
  </si>
  <si>
    <t xml:space="preserve">Moulin1981</t>
  </si>
  <si>
    <t xml:space="preserve">§2 Setting, §4 Veto literature, §6 Procedure</t>
  </si>
  <si>
    <t xml:space="preserve">Moulin, H. (1981). The Proportional Veto Principle. Review of Economic Studies 48(3): 407–416.</t>
  </si>
  <si>
    <t xml:space="preserve">https://doi.org/10.2307/2297154</t>
  </si>
  <si>
    <t xml:space="preserve">Moulin (1982). Voting with Proportional Veto Power</t>
  </si>
  <si>
    <t xml:space="preserve">C26 Proportional veto and the veto core
C25 Voting by veto (sequential vetoes)</t>
  </si>
  <si>
    <t xml:space="preserve">Neutral rules implementable in strong equilibrium need veto power distributed roughly in proportion to coalition size; voting by successive veto is an example.</t>
  </si>
  <si>
    <t xml:space="preserve">Moulin1982</t>
  </si>
  <si>
    <t xml:space="preserve">Moulin, H. (1982). Voting with Proportional Veto Power. Econometrica 50(1): 145–162.</t>
  </si>
  <si>
    <t xml:space="preserve">https://doi.org/10.2307/1912535</t>
  </si>
  <si>
    <t xml:space="preserve">Moulin (1983). The Strategy of Social Choice</t>
  </si>
  <si>
    <t xml:space="preserve">C26 Proportional veto and the veto core
C25 Voting by veto (sequential vetoes)
C13 Impossibility theorems</t>
  </si>
  <si>
    <t xml:space="preserve">Textbook on the strategy of social choice: manipulation, implementation and veto procedures.</t>
  </si>
  <si>
    <t xml:space="preserve">Moulin1983</t>
  </si>
  <si>
    <t xml:space="preserve">Moulin, H. (1983). The Strategy of Social Choice. North-Holland.</t>
  </si>
  <si>
    <t xml:space="preserve">Moulin (1988). Condorcet's Principle Implies the No Show Paradox</t>
  </si>
  <si>
    <t xml:space="preserve">C15 Participation and the no-show paradox
C01 Condorcet winner and the majority principle</t>
  </si>
  <si>
    <t xml:space="preserve">Every Condorcet-consistent rule violates participation (the no-show paradox) when there are four options or more.</t>
  </si>
  <si>
    <t xml:space="preserve">Moulin1988noshow</t>
  </si>
  <si>
    <t xml:space="preserve">Moulin, H. (1988). Condorcet's Principle Implies the No Show Paradox. Journal of Economic Theory 45(1): 53–64.</t>
  </si>
  <si>
    <t xml:space="preserve">https://doi.org/10.1016/0022-0531(88)90253-0</t>
  </si>
  <si>
    <t xml:space="preserve">Mueller (1978). Voting by Veto</t>
  </si>
  <si>
    <t xml:space="preserve">C25 Voting by veto (sequential vetoes)</t>
  </si>
  <si>
    <t xml:space="preserve">Voting by veto: each member proposes one option, the status quo is added, and members strike options in turn; it always decides and no member gets their worst outcome.</t>
  </si>
  <si>
    <t xml:space="preserve">Mueller1978</t>
  </si>
  <si>
    <t xml:space="preserve">Mueller, D. C. (1978). Voting by Veto. Journal of Public Economics 10(1): 57–75.</t>
  </si>
  <si>
    <t xml:space="preserve">https://doi.org/10.1016/0047-2727(78)90005-1</t>
  </si>
  <si>
    <t xml:space="preserve">Nakamura (1979). The Vetoers in a Simple Game with Ordinal Preferences</t>
  </si>
  <si>
    <t xml:space="preserve">C18 Supermajority, stability and the core
C21 Veto players, status-quo bias and gridlock</t>
  </si>
  <si>
    <t xml:space="preserve">The core of a simple game is non-empty for all preference profiles if and only if there are fewer options than the Nakamura number; with a veto player, the core is never empty.</t>
  </si>
  <si>
    <t xml:space="preserve">Nakamura1979</t>
  </si>
  <si>
    <t xml:space="preserve">Nakamura, K. (1979). The Vetoers in a Simple Game with Ordinal Preferences. International Journal of Game Theory 8(1): 55–61.</t>
  </si>
  <si>
    <t xml:space="preserve">https://doi.org/10.1007/BF01763051</t>
  </si>
  <si>
    <t xml:space="preserve">Nunnari (2021). Dynamic Legislative Bargaining with Veto Power: Theory and Experiments</t>
  </si>
  <si>
    <t xml:space="preserve">C23 Dynamic bargaining and endogenous status quo
C21 Veto players, status-quo bias and gridlock
C33 Communication, accountability and experiments in committees</t>
  </si>
  <si>
    <t xml:space="preserve">Dynamic bargaining with a veto player, theory and experiments: the vetoer's power grows over rounds.</t>
  </si>
  <si>
    <t xml:space="preserve">Nunnari2021</t>
  </si>
  <si>
    <t xml:space="preserve">§4 Veto literature, §6 Procedure</t>
  </si>
  <si>
    <t xml:space="preserve">Nunnari, S. (2021). Dynamic Legislative Bargaining with Veto Power: Theory and Experiments. Games and Economic Behavior 126: 186–230.</t>
  </si>
  <si>
    <t xml:space="preserve">https://doi.org/10.1016/j.geb.2020.11.006</t>
  </si>
  <si>
    <t xml:space="preserve">Piazolo &amp; Vanberg (2025). Legislative Bargaining with Private Information: A Comparison of Majority and Unanimity Rule</t>
  </si>
  <si>
    <t xml:space="preserve">Majority against unanimity with private information: unanimity brings more delay and costlier bargaining.</t>
  </si>
  <si>
    <t xml:space="preserve">PiazoloVanberg2025</t>
  </si>
  <si>
    <t xml:space="preserve">Piazolo, D. &amp; Vanberg, C. (2025). Legislative Bargaining with Private Information: A Comparison of Majority and Unanimity Rule. Games and Economic Behavior 153: 499–522.</t>
  </si>
  <si>
    <t xml:space="preserve">https://doi.org/10.1016/j.geb.2025.07.010</t>
  </si>
  <si>
    <t xml:space="preserve">Plott (1967). A Notion of Equilibrium and Its Possibility Under Majority Rule</t>
  </si>
  <si>
    <t xml:space="preserve">C17 Spatial voting, chaos and agenda control
C18 Supermajority, stability and the core</t>
  </si>
  <si>
    <t xml:space="preserve">A majority-rule equilibrium in several dimensions needs very restrictive symmetry of preferences, so it generally fails to exist.</t>
  </si>
  <si>
    <t xml:space="preserve">Plott1967</t>
  </si>
  <si>
    <t xml:space="preserve">Plott, C. R. (1967). A Notion of Equilibrium and Its Possibility Under Majority Rule. American Economic Review 57(4): 787–806.</t>
  </si>
  <si>
    <t xml:space="preserve">https://www.jstor.org/stable/1815369</t>
  </si>
  <si>
    <t xml:space="preserve">Rae (1969). Decision-Rules and Individual Values in Constitutional Choice</t>
  </si>
  <si>
    <t xml:space="preserve">C19 Choice of the voting quota
C01 Condorcet winner and the majority principle</t>
  </si>
  <si>
    <t xml:space="preserve">Simple majority maximises a voter's expected agreement with collective decisions when the voter does not know their future preferences.</t>
  </si>
  <si>
    <t xml:space="preserve">Rae1969</t>
  </si>
  <si>
    <t xml:space="preserve">Rae, D. W. (1969). Decision-Rules and Individual Values in Constitutional Choice. American Political Science Review 63(1): 40–56.</t>
  </si>
  <si>
    <t xml:space="preserve">https://doi.org/10.2307/1954283</t>
  </si>
  <si>
    <t xml:space="preserve">Regenwetter et al. (2006). Behavioral Social Choice: Probabilistic Models, Statistical Inference, and Applications</t>
  </si>
  <si>
    <t xml:space="preserve">Behavioural social choice: majority cycles are rare in real election data; the impartial culture overstates them.</t>
  </si>
  <si>
    <t xml:space="preserve">RegenwetterEtAl2006</t>
  </si>
  <si>
    <t xml:space="preserve">Regenwetter, M., Grofman, B., Marley, A. A. J. &amp; Tsetlin, I. (2006). Behavioral Social Choice: Probabilistic Models, Statistical Inference, and Applications. Cambridge University Press.</t>
  </si>
  <si>
    <t xml:space="preserve">https://www.loc.gov/item/2005023291/</t>
  </si>
  <si>
    <t xml:space="preserve">Resnick (2014). On Consensus and Humming in the IETF</t>
  </si>
  <si>
    <t xml:space="preserve">IETF rough consensus: lack of disagreement matters more than agreement; consensus is reached when all objections are addressed, not necessarily accommodated.</t>
  </si>
  <si>
    <t xml:space="preserve">Resnick2014rfc7282</t>
  </si>
  <si>
    <t xml:space="preserve">Resnick, P. (2014). On Consensus and Humming in the IETF. RFC Editor.</t>
  </si>
  <si>
    <t xml:space="preserve">https://doi.org/10.17487/RFC7282</t>
  </si>
  <si>
    <t xml:space="preserve">Roháč (2008). The Unanimity Rule and Religious Fractionalisation in the Polish-Lithuanian Republic</t>
  </si>
  <si>
    <t xml:space="preserve">C31 Institutional design of vetoes
C21 Veto players, status-quo bias and gridlock</t>
  </si>
  <si>
    <t xml:space="preserve">The liberum veto (unanimity) of the Polish-Lithuanian Sejm, linked to religious fractionalisation, paralysed decision-making.</t>
  </si>
  <si>
    <t xml:space="preserve">Rohac2008</t>
  </si>
  <si>
    <t xml:space="preserve">Roháč, D. (2008). The Unanimity Rule and Religious Fractionalisation in the Polish-Lithuanian Republic. Constitutional Political Economy 19(2): 111–128.</t>
  </si>
  <si>
    <t xml:space="preserve">https://doi.org/10.1007/s10602-008-9037-5</t>
  </si>
  <si>
    <t xml:space="preserve">Romer &amp; Rosenthal (1978). Political Resource Allocation, Controlled Agendas, and the Status Quo</t>
  </si>
  <si>
    <t xml:space="preserve">C22 Agenda setting and proposal power
C21 Veto players, status-quo bias and gridlock</t>
  </si>
  <si>
    <t xml:space="preserve">An agenda setter making take-it-or-leave-it proposals extracts more the worse the reversion point (status quo) is for the voters.</t>
  </si>
  <si>
    <t xml:space="preserve">RomerRosenthal1978</t>
  </si>
  <si>
    <t xml:space="preserve">Romer, T. &amp; Rosenthal, H. (1978). Political Resource Allocation, Controlled Agendas, and the Status Quo. Public Choice 33(4): 27–43.</t>
  </si>
  <si>
    <t xml:space="preserve">https://doi.org/10.1007/BF03187594</t>
  </si>
  <si>
    <t xml:space="preserve">Satterthwaite (1975). Strategy-Proofness and Arrow's Conditions: Existence and Correspondence Theorems for Voting Procedures and Social Welfare Functions</t>
  </si>
  <si>
    <t xml:space="preserve">Proves the same strategy-proofness impossibility independently and shows its correspondence with Arrow's theorem.</t>
  </si>
  <si>
    <t xml:space="preserve">Satterthwaite1975</t>
  </si>
  <si>
    <t xml:space="preserve">Satterthwaite, M. A. (1975). Strategy-Proofness and Arrow's Conditions: Existence and Correspondence Theorems for Voting Procedures and Social Welfare Functions. Journal of Economic Theory 10(2): 187–217.</t>
  </si>
  <si>
    <t xml:space="preserve">https://doi.org/10.1016/0022-0531(75)90050-2</t>
  </si>
  <si>
    <t xml:space="preserve">Schulze (2011). A New Monotonic, Clone-Independent, Reversal Symmetric, and Condorcet-Consistent Single-Winner Election Method</t>
  </si>
  <si>
    <t xml:space="preserve">C04 Schulze method
C12 Independence of clones and agenda flooding
C03 Smith set and Condorcet completions</t>
  </si>
  <si>
    <t xml:space="preserve">The Schulze (beatpath) method: Condorcet- and Smith-consistent, independent of clones, monotonic, reversal-symmetric, computable in O(m^3).</t>
  </si>
  <si>
    <t xml:space="preserve">Schulze2011</t>
  </si>
  <si>
    <t xml:space="preserve">§1 Introduction, §2 Setting, §4 Veto literature, §5 Aggregation, App. A Proofs, App. B Algorithms</t>
  </si>
  <si>
    <t xml:space="preserve">Schulze, M. (2011). A New Monotonic, Clone-Independent, Reversal Symmetric, and Condorcet-Consistent Single-Winner Election Method. Social Choice and Welfare 36(2): 267–303.</t>
  </si>
  <si>
    <t xml:space="preserve">https://doi.org/10.1007/s00355-010-0475-4</t>
  </si>
  <si>
    <t xml:space="preserve">Sertel &amp; Yılmaz (1999). The Majoritarian Compromise is Majoritarian-Optimal and Subgame-Perfect Implementable</t>
  </si>
  <si>
    <t xml:space="preserve">The majoritarian compromise (descend until a majority agrees) is majoritarian-optimal and implementable in subgame-perfect equilibrium.</t>
  </si>
  <si>
    <t xml:space="preserve">SertelYilmaz1999</t>
  </si>
  <si>
    <t xml:space="preserve">Sertel, M. R. &amp; Yılmaz, B. (1999). The Majoritarian Compromise is Majoritarian-Optimal and Subgame-Perfect Implementable. Social Choice and Welfare 16(4): 615–627.</t>
  </si>
  <si>
    <t xml:space="preserve">https://doi.org/10.1007/s003550050164</t>
  </si>
  <si>
    <t xml:space="preserve">Simpson (1969). On Defining Areas of Voter Choice: Professor Tullock on Stable Voting</t>
  </si>
  <si>
    <t xml:space="preserve">C08 Copeland and Minimax</t>
  </si>
  <si>
    <t xml:space="preserve">Measures of voter choice behind the minimax (Simpson-Kramer) rule: elect the option whose worst pairwise defeat is smallest.</t>
  </si>
  <si>
    <t xml:space="preserve">Simpson1969</t>
  </si>
  <si>
    <t xml:space="preserve">Simpson, P. B. (1969). On Defining Areas of Voter Choice: Professor Tullock on Stable Voting. Quarterly Journal of Economics 83(3): 478–490.</t>
  </si>
  <si>
    <t xml:space="preserve">https://doi.org/10.2307/1880533</t>
  </si>
  <si>
    <t xml:space="preserve">Smith (1973). Aggregation of Preferences with Variable Electorate</t>
  </si>
  <si>
    <t xml:space="preserve">C03 Smith set and Condorcet completions</t>
  </si>
  <si>
    <t xml:space="preserve">Aggregation of preferences with a variable electorate; origin of the Smith set, the smallest set of options that beat all outside options.</t>
  </si>
  <si>
    <t xml:space="preserve">Smith1973</t>
  </si>
  <si>
    <t xml:space="preserve">Smith, J. H. (1973). Aggregation of Preferences with Variable Electorate. Econometrica 41(6): 1027–1041.</t>
  </si>
  <si>
    <t xml:space="preserve">https://doi.org/10.2307/1914033</t>
  </si>
  <si>
    <t xml:space="preserve">Tideman &amp; Plassmann (2012). Modeling the Outcomes of Vote-Casting in Actual Elections</t>
  </si>
  <si>
    <t xml:space="preserve">C32 Evaluating rules with simulations and data
C02 Majority cycles and their frequency</t>
  </si>
  <si>
    <t xml:space="preserve">Spatial models reproduce observed ballots better than the impartial culture, under which cycles are overstated.</t>
  </si>
  <si>
    <t xml:space="preserve">TidemanPlassmann2012</t>
  </si>
  <si>
    <t xml:space="preserve">Tideman, T. N. &amp; Plassmann, F. (2012). Modeling the Outcomes of Vote-Casting in Actual Elections. Electoral Systems: Paradoxes, Assumptions, and Procedures: 217–251.</t>
  </si>
  <si>
    <t xml:space="preserve">https://doi.org/10.1007/978-3-642-20441-8_9</t>
  </si>
  <si>
    <t xml:space="preserve">Tideman (1987). Independence of Clones as a Criterion for Voting Rules</t>
  </si>
  <si>
    <t xml:space="preserve">C12 Independence of clones and agenda flooding
C05 Ranked Pairs
C09 Positional and runoff rules</t>
  </si>
  <si>
    <t xml:space="preserve">Defines independence of clones and proposes Ranked Pairs, which satisfies it; plurality suffers vote splitting and Borda teaming.</t>
  </si>
  <si>
    <t xml:space="preserve">Tideman1987</t>
  </si>
  <si>
    <t xml:space="preserve">§1 Introduction, §2 Setting, §4 Veto literature, §5 Aggregation, App. B Algorithms</t>
  </si>
  <si>
    <t xml:space="preserve">Tideman, T. N. (1987). Independence of Clones as a Criterion for Voting Rules. Social Choice and Welfare 4(3): 185–206.</t>
  </si>
  <si>
    <t xml:space="preserve">https://doi.org/10.1007/BF00433944</t>
  </si>
  <si>
    <t xml:space="preserve">Tideman (2006). Collective Decisions and Voting: The Potential for Public Choice</t>
  </si>
  <si>
    <t xml:space="preserve">C32 Evaluating rules with simulations and data
C02 Majority cycles and their frequency
C05 Ranked Pairs</t>
  </si>
  <si>
    <t xml:space="preserve">Book on collective decisions and voting, including evidence on Condorcet winners in real elections and the design of Ranked Pairs.</t>
  </si>
  <si>
    <t xml:space="preserve">Tideman2006</t>
  </si>
  <si>
    <t xml:space="preserve">Tideman, N. (2006). Collective Decisions and Voting: The Potential for Public Choice. Ashgate.</t>
  </si>
  <si>
    <t xml:space="preserve">https://www.loc.gov/item/2006021134/</t>
  </si>
  <si>
    <t xml:space="preserve">Tsebelis (1995). Decision Making in Political Systems: Veto Players in Presidentialism, Parliamentarism, Multicameralism and Multipartyism</t>
  </si>
  <si>
    <t xml:space="preserve">C21 Veto players, status-quo bias and gridlock</t>
  </si>
  <si>
    <t xml:space="preserve">More veto players, and more distance between them, reduce the ability to change the status quo (policy stability).</t>
  </si>
  <si>
    <t xml:space="preserve">Tsebelis1995</t>
  </si>
  <si>
    <t xml:space="preserve">Tsebelis, G. (1995). Decision Making in Political Systems: Veto Players in Presidentialism, Parliamentarism, Multicameralism and Multipartyism. British Journal of Political Science 25(3): 289–325.</t>
  </si>
  <si>
    <t xml:space="preserve">https://doi.org/10.1017/S0007123400007225</t>
  </si>
  <si>
    <t xml:space="preserve">Tsebelis (2002). Veto Players: How Political Institutions Work</t>
  </si>
  <si>
    <t xml:space="preserve">Book-length veto-player theory across political institutions.</t>
  </si>
  <si>
    <t xml:space="preserve">Tsebelis2002</t>
  </si>
  <si>
    <t xml:space="preserve">§1 Introduction, §2 Setting, §4 Veto literature</t>
  </si>
  <si>
    <t xml:space="preserve">Tsebelis, G. (2002). Veto Players: How Political Institutions Work. Princeton University Press and Russell Sage Foundation.</t>
  </si>
  <si>
    <t xml:space="preserve">https://doi.org/10.1515/9781400831456</t>
  </si>
  <si>
    <t xml:space="preserve">Young &amp; Levenglick (1978). A Consistent Extension of Condorcet's Election Principle</t>
  </si>
  <si>
    <t xml:space="preserve">C07 Kemeny-Young and distance-based consensus
C01 Condorcet winner and the majority principle</t>
  </si>
  <si>
    <t xml:space="preserve">Kemeny's rule is the unique ranking rule that is neutral, consistent and Condorcet-consistent.</t>
  </si>
  <si>
    <t xml:space="preserve">YoungLevenglick1978</t>
  </si>
  <si>
    <t xml:space="preserve">Young, H. P. &amp; Levenglick, A. (1978). A Consistent Extension of Condorcet's Election Principle. SIAM Journal on Applied Mathematics 35(2): 285–300.</t>
  </si>
  <si>
    <t xml:space="preserve">https://doi.org/10.1137/0135023</t>
  </si>
  <si>
    <t xml:space="preserve">Young (1974). An Axiomatization of Borda's Rule</t>
  </si>
  <si>
    <t xml:space="preserve">C09 Positional and runoff rules</t>
  </si>
  <si>
    <t xml:space="preserve">Axiomatic characterisation of Borda's rule.</t>
  </si>
  <si>
    <t xml:space="preserve">Young1974</t>
  </si>
  <si>
    <t xml:space="preserve">Young, H. P. (1974). An Axiomatization of Borda's Rule. Journal of Economic Theory 9(1): 43–52.</t>
  </si>
  <si>
    <t xml:space="preserve">https://doi.org/10.1016/0022-0531(74)90073-8</t>
  </si>
  <si>
    <t xml:space="preserve">Young (1988). Condorcet's Theory of Voting</t>
  </si>
  <si>
    <t xml:space="preserve">Reinterprets Condorcet's own theory: his maximum-likelihood approach leads to the Kemeny ranking.</t>
  </si>
  <si>
    <t xml:space="preserve">Young1988</t>
  </si>
  <si>
    <t xml:space="preserve">Young, H. P. (1988). Condorcet's Theory of Voting. American Political Science Review 82(4): 1231–1244.</t>
  </si>
  <si>
    <t xml:space="preserve">https://doi.org/10.2307/1961757</t>
  </si>
  <si>
    <t xml:space="preserve">Zavist &amp; Tideman (1989). Complete Independence of Clones in the Ranked Pairs Rule</t>
  </si>
  <si>
    <t xml:space="preserve">C05 Ranked Pairs
C12 Independence of clones and agenda flooding</t>
  </si>
  <si>
    <t xml:space="preserve">A tie-breaking refinement makes Ranked Pairs completely independent of clones.</t>
  </si>
  <si>
    <t xml:space="preserve">ZavistTideman1989</t>
  </si>
  <si>
    <t xml:space="preserve">Zavist, T. M. &amp; Tideman, T. N. (1989). Complete Independence of Clones in the Ranked Pairs Rule. Social Choice and Welfare 6(2): 167–173.</t>
  </si>
  <si>
    <t xml:space="preserve">https://doi.org/10.1007/BF00303170</t>
  </si>
  <si>
    <t xml:space="preserve">Agranov &amp; Tergiman (2019)</t>
  </si>
  <si>
    <t xml:space="preserve">x</t>
  </si>
  <si>
    <t xml:space="preserve">Anbarci (1993)</t>
  </si>
  <si>
    <t xml:space="preserve">Anesi &amp; Bowen (2021)</t>
  </si>
  <si>
    <t xml:space="preserve">Anesi &amp; Duggan (2017)</t>
  </si>
  <si>
    <t xml:space="preserve">Anesi &amp; Seidmann (2015)</t>
  </si>
  <si>
    <t xml:space="preserve">Arrow (1951)</t>
  </si>
  <si>
    <t xml:space="preserve">Balinski &amp; Laraki (2007)</t>
  </si>
  <si>
    <t xml:space="preserve">Balinski &amp; Laraki (2011)</t>
  </si>
  <si>
    <t xml:space="preserve">Barberà &amp; Coelho (2017)</t>
  </si>
  <si>
    <t xml:space="preserve">Barberà &amp; Coelho (2022)</t>
  </si>
  <si>
    <t xml:space="preserve">Barberà &amp; Gerber (2017)</t>
  </si>
  <si>
    <t xml:space="preserve">Baron &amp; Ferejohn (1989)</t>
  </si>
  <si>
    <t xml:space="preserve">Bartholdi et al. (1989)</t>
  </si>
  <si>
    <t xml:space="preserve">Black (1948)</t>
  </si>
  <si>
    <t xml:space="preserve">Bognar et al. (2015)</t>
  </si>
  <si>
    <t xml:space="preserve">Bouton et al. (2017)</t>
  </si>
  <si>
    <t xml:space="preserve">Bouton et al. (2018)</t>
  </si>
  <si>
    <t xml:space="preserve">Brams &amp; Fishburn (1978)</t>
  </si>
  <si>
    <t xml:space="preserve">Brams &amp; Kilgour (2001)</t>
  </si>
  <si>
    <t xml:space="preserve">Brandl et al. (2016)</t>
  </si>
  <si>
    <t xml:space="preserve">Brandt et al. (2016)</t>
  </si>
  <si>
    <t xml:space="preserve">Brandt et al. (2017)</t>
  </si>
  <si>
    <t xml:space="preserve">Breitmoser &amp; Valasek (2024)</t>
  </si>
  <si>
    <t xml:space="preserve">Buchanan &amp; Tullock (1962)</t>
  </si>
  <si>
    <t xml:space="preserve">Cailloux et al. (2023)</t>
  </si>
  <si>
    <t xml:space="preserve">Caplin &amp; Nalebuff (1988)</t>
  </si>
  <si>
    <t xml:space="preserve">Casella (2005)</t>
  </si>
  <si>
    <t xml:space="preserve">Condorcet (1785)</t>
  </si>
  <si>
    <t xml:space="preserve">Debian Project (2022)</t>
  </si>
  <si>
    <t xml:space="preserve">Dziuda &amp; Loeper (2016)</t>
  </si>
  <si>
    <t xml:space="preserve">Elkind et al. (2015)</t>
  </si>
  <si>
    <t xml:space="preserve">European Union (2016)</t>
  </si>
  <si>
    <t xml:space="preserve">Faliszewski &amp; Procaccia (2010)</t>
  </si>
  <si>
    <t xml:space="preserve">Felsenthal &amp; Machover (2008)</t>
  </si>
  <si>
    <t xml:space="preserve">Felsenthal (2012)</t>
  </si>
  <si>
    <t xml:space="preserve">Fishburn (1977)</t>
  </si>
  <si>
    <t xml:space="preserve">Fishburn (1984)</t>
  </si>
  <si>
    <t xml:space="preserve">Gehrlein &amp; Fishburn (1976)</t>
  </si>
  <si>
    <t xml:space="preserve">Gehrlein (2006)</t>
  </si>
  <si>
    <t xml:space="preserve">Gersbach &amp; Valkanova (2024)</t>
  </si>
  <si>
    <t xml:space="preserve">Gersbach (2024)</t>
  </si>
  <si>
    <t xml:space="preserve">Gersbach (2025)</t>
  </si>
  <si>
    <t xml:space="preserve">Gibbard (1973)</t>
  </si>
  <si>
    <t xml:space="preserve">Glynia et al. (2026)</t>
  </si>
  <si>
    <t xml:space="preserve">Green-Armytage et al. (2016)</t>
  </si>
  <si>
    <t xml:space="preserve">Greenberg (1979)</t>
  </si>
  <si>
    <t xml:space="preserve">Guilbaud (1952)</t>
  </si>
  <si>
    <t xml:space="preserve">Harrington (1990)</t>
  </si>
  <si>
    <t xml:space="preserve">Holliday &amp; Pacuit (2023)</t>
  </si>
  <si>
    <t xml:space="preserve">Hurwicz &amp; Sertel (1999)</t>
  </si>
  <si>
    <t xml:space="preserve">Ianovski &amp; Kondratev (2021)</t>
  </si>
  <si>
    <t xml:space="preserve">Kagel et al. (2010)</t>
  </si>
  <si>
    <t xml:space="preserve">Kartik et al. (2021)</t>
  </si>
  <si>
    <t xml:space="preserve">Kemeny (1959)</t>
  </si>
  <si>
    <t xml:space="preserve">Kondratev &amp; Ianovski (2024)</t>
  </si>
  <si>
    <t xml:space="preserve">Kondratev &amp; Nesterov (2020)</t>
  </si>
  <si>
    <t xml:space="preserve">Krick (2017)</t>
  </si>
  <si>
    <t xml:space="preserve">Laffond et al. (1993)</t>
  </si>
  <si>
    <t xml:space="preserve">Laing &amp; Slotznick (1991)</t>
  </si>
  <si>
    <t xml:space="preserve">Laslier &amp; Sanver (2010)</t>
  </si>
  <si>
    <t xml:space="preserve">Laslier (2012)</t>
  </si>
  <si>
    <t xml:space="preserve">Laslier et al. (2021)</t>
  </si>
  <si>
    <t xml:space="preserve">Mallows (1957)</t>
  </si>
  <si>
    <t xml:space="preserve">Mattei &amp; Walsh (2013)</t>
  </si>
  <si>
    <t xml:space="preserve">May (1952)</t>
  </si>
  <si>
    <t xml:space="preserve">McKelvey (1976)</t>
  </si>
  <si>
    <t xml:space="preserve">Merrill (1984)</t>
  </si>
  <si>
    <t xml:space="preserve">Miettinen &amp; Vanberg (2025)</t>
  </si>
  <si>
    <t xml:space="preserve">Moulin (1981)</t>
  </si>
  <si>
    <t xml:space="preserve">Moulin (1982)</t>
  </si>
  <si>
    <t xml:space="preserve">Moulin (1983)</t>
  </si>
  <si>
    <t xml:space="preserve">Moulin (1988)</t>
  </si>
  <si>
    <t xml:space="preserve">Mueller (1978)</t>
  </si>
  <si>
    <t xml:space="preserve">Nakamura (1979)</t>
  </si>
  <si>
    <t xml:space="preserve">Nunnari (2021)</t>
  </si>
  <si>
    <t xml:space="preserve">Piazolo &amp; Vanberg (2025)</t>
  </si>
  <si>
    <t xml:space="preserve">Plott (1967)</t>
  </si>
  <si>
    <t xml:space="preserve">Rae (1969)</t>
  </si>
  <si>
    <t xml:space="preserve">Regenwetter et al. (2006)</t>
  </si>
  <si>
    <t xml:space="preserve">Resnick (2014)</t>
  </si>
  <si>
    <t xml:space="preserve">Roháč (2008)</t>
  </si>
  <si>
    <t xml:space="preserve">Romer &amp; Rosenthal (1978)</t>
  </si>
  <si>
    <t xml:space="preserve">Satterthwaite (1975)</t>
  </si>
  <si>
    <t xml:space="preserve">Schulze (2011)</t>
  </si>
  <si>
    <t xml:space="preserve">Sertel &amp; Yılmaz (1999)</t>
  </si>
  <si>
    <t xml:space="preserve">Simpson (1969)</t>
  </si>
  <si>
    <t xml:space="preserve">Smith (1973)</t>
  </si>
  <si>
    <t xml:space="preserve">Tideman &amp; Plassmann (2012)</t>
  </si>
  <si>
    <t xml:space="preserve">Tideman (1987)</t>
  </si>
  <si>
    <t xml:space="preserve">Tideman (2006)</t>
  </si>
  <si>
    <t xml:space="preserve">Tsebelis (1995)</t>
  </si>
  <si>
    <t xml:space="preserve">Tsebelis (2002)</t>
  </si>
  <si>
    <t xml:space="preserve">Young &amp; Levenglick (1978)</t>
  </si>
  <si>
    <t xml:space="preserve">Young (1974)</t>
  </si>
  <si>
    <t xml:space="preserve">Young (1988)</t>
  </si>
  <si>
    <t xml:space="preserve">Zavist &amp; Tideman (1989)</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</si>
</sst>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2A78D6"/>
      <name val="Arial"/>
      <family val="0"/>
      <charset val="1"/>
    </font>
    <font>
      <b val="true"/>
      <sz val="10"/>
      <name val="Arial"/>
      <family val="0"/>
      <charset val="1"/>
    </font>
    <font>
      <sz val="10"/>
      <name val="Arial"/>
      <family val="0"/>
      <charset val="1"/>
    </font>
    <font>
      <b val="true"/>
      <sz val="11"/>
      <color rgb="FF2A78D6"/>
      <name val="Arial"/>
      <family val="0"/>
      <charset val="1"/>
    </font>
    <font>
      <b val="true"/>
      <sz val="10"/>
      <color rgb="FFFFFFFF"/>
      <name val="Arial"/>
      <family val="0"/>
      <charset val="1"/>
    </font>
    <font>
      <u val="single"/>
      <sz val="10"/>
      <color rgb="FF0563C1"/>
      <name val="Arial"/>
      <family val="0"/>
      <charset val="1"/>
    </font>
  </fonts>
  <fills count="4">
    <fill>
      <patternFill patternType="none"/>
    </fill>
    <fill>
      <patternFill patternType="gray125"/>
    </fill>
    <fill>
      <patternFill patternType="solid">
        <fgColor rgb="FF2A78D6"/>
        <bgColor rgb="FF0563C1"/>
      </patternFill>
    </fill>
    <fill>
      <patternFill patternType="solid">
        <fgColor rgb="FFEAF2F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left" vertical="top"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bottom" textRotation="90" wrapText="tru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A78D6"/>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2FC"/>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oi.org/10.1007/s10683-018-9571-6" TargetMode="External"/><Relationship Id="rId2" Type="http://schemas.openxmlformats.org/officeDocument/2006/relationships/hyperlink" Target="https://doi.org/10.2307/2118502" TargetMode="External"/><Relationship Id="rId3" Type="http://schemas.openxmlformats.org/officeDocument/2006/relationships/hyperlink" Target="https://doi.org/10.1257/mic.20190023" TargetMode="External"/><Relationship Id="rId4" Type="http://schemas.openxmlformats.org/officeDocument/2006/relationships/hyperlink" Target="https://doi.org/10.1016/j.geb.2016.04.010" TargetMode="External"/><Relationship Id="rId5" Type="http://schemas.openxmlformats.org/officeDocument/2006/relationships/hyperlink" Target="https://doi.org/10.1093/restud/rdv009" TargetMode="External"/><Relationship Id="rId6" Type="http://schemas.openxmlformats.org/officeDocument/2006/relationships/hyperlink" Target="https://www.loc.gov/item/51009755/" TargetMode="External"/><Relationship Id="rId7" Type="http://schemas.openxmlformats.org/officeDocument/2006/relationships/hyperlink" Target="https://doi.org/10.1073/pnas.0702634104" TargetMode="External"/><Relationship Id="rId8" Type="http://schemas.openxmlformats.org/officeDocument/2006/relationships/hyperlink" Target="https://doi.org/10.7551/mitpress/9780262015134.001.0001" TargetMode="External"/><Relationship Id="rId9" Type="http://schemas.openxmlformats.org/officeDocument/2006/relationships/hyperlink" Target="https://doi.org/10.1016/j.geb.2015.10.005" TargetMode="External"/><Relationship Id="rId10" Type="http://schemas.openxmlformats.org/officeDocument/2006/relationships/hyperlink" Target="https://doi.org/10.1111/1756-2171.12401" TargetMode="External"/><Relationship Id="rId11" Type="http://schemas.openxmlformats.org/officeDocument/2006/relationships/hyperlink" Target="https://doi.org/10.3982/TE2118" TargetMode="External"/><Relationship Id="rId12" Type="http://schemas.openxmlformats.org/officeDocument/2006/relationships/hyperlink" Target="https://doi.org/10.2307/1961664" TargetMode="External"/><Relationship Id="rId13" Type="http://schemas.openxmlformats.org/officeDocument/2006/relationships/hyperlink" Target="https://doi.org/10.1007/BF00303169" TargetMode="External"/><Relationship Id="rId14" Type="http://schemas.openxmlformats.org/officeDocument/2006/relationships/hyperlink" Target="https://doi.org/10.1007/BF00295861" TargetMode="External"/><Relationship Id="rId15" Type="http://schemas.openxmlformats.org/officeDocument/2006/relationships/hyperlink" Target="https://doi.org/10.1086/256633" TargetMode="External"/><Relationship Id="rId16" Type="http://schemas.openxmlformats.org/officeDocument/2006/relationships/hyperlink" Target="https://doi.org/10.1016/j.jet.2014.11.008" TargetMode="External"/><Relationship Id="rId17" Type="http://schemas.openxmlformats.org/officeDocument/2006/relationships/hyperlink" Target="https://doi.org/10.1016/j.geb.2016.12.001" TargetMode="External"/><Relationship Id="rId18" Type="http://schemas.openxmlformats.org/officeDocument/2006/relationships/hyperlink" Target="https://doi.org/10.1086/695477" TargetMode="External"/><Relationship Id="rId19" Type="http://schemas.openxmlformats.org/officeDocument/2006/relationships/hyperlink" Target="https://doi.org/10.2307/1955105" TargetMode="External"/><Relationship Id="rId20" Type="http://schemas.openxmlformats.org/officeDocument/2006/relationships/hyperlink" Target="https://doi.org/10.1023/A:1011252808608" TargetMode="External"/><Relationship Id="rId21" Type="http://schemas.openxmlformats.org/officeDocument/2006/relationships/hyperlink" Target="https://doi.org/10.3982/ECTA13337" TargetMode="External"/><Relationship Id="rId22" Type="http://schemas.openxmlformats.org/officeDocument/2006/relationships/hyperlink" Target="https://doi.org/10.1017/CBO9781107446984" TargetMode="External"/><Relationship Id="rId23" Type="http://schemas.openxmlformats.org/officeDocument/2006/relationships/hyperlink" Target="https://doi.org/10.1016/j.mathsocsci.2016.09.003" TargetMode="External"/><Relationship Id="rId24" Type="http://schemas.openxmlformats.org/officeDocument/2006/relationships/hyperlink" Target="https://doi.org/10.1111/1756-2171.12457" TargetMode="External"/><Relationship Id="rId25" Type="http://schemas.openxmlformats.org/officeDocument/2006/relationships/hyperlink" Target="https://www.loc.gov/item/62007705/" TargetMode="External"/><Relationship Id="rId26" Type="http://schemas.openxmlformats.org/officeDocument/2006/relationships/hyperlink" Target="https://doi.org/10.1007/s10058-022-00302-w" TargetMode="External"/><Relationship Id="rId27" Type="http://schemas.openxmlformats.org/officeDocument/2006/relationships/hyperlink" Target="https://doi.org/10.2307/1912699" TargetMode="External"/><Relationship Id="rId28" Type="http://schemas.openxmlformats.org/officeDocument/2006/relationships/hyperlink" Target="https://doi.org/10.1016/j.geb.2004.09.009" TargetMode="External"/><Relationship Id="rId29" Type="http://schemas.openxmlformats.org/officeDocument/2006/relationships/hyperlink" Target="https://www.loc.gov/item/06005363/" TargetMode="External"/><Relationship Id="rId30" Type="http://schemas.openxmlformats.org/officeDocument/2006/relationships/hyperlink" Target="https://www.debian.org/devel/constitution" TargetMode="External"/><Relationship Id="rId31" Type="http://schemas.openxmlformats.org/officeDocument/2006/relationships/hyperlink" Target="https://doi.org/10.1086/686747" TargetMode="External"/><Relationship Id="rId32" Type="http://schemas.openxmlformats.org/officeDocument/2006/relationships/hyperlink" Target="https://doi.org/10.1007/s00355-015-0892-5" TargetMode="External"/><Relationship Id="rId33" Type="http://schemas.openxmlformats.org/officeDocument/2006/relationships/hyperlink" Target="http://data.europa.eu/eli/treaty/teu_2016/oj" TargetMode="External"/><Relationship Id="rId34" Type="http://schemas.openxmlformats.org/officeDocument/2006/relationships/hyperlink" Target="https://doi.org/10.1609/aimag.v31i4.2314" TargetMode="External"/><Relationship Id="rId35" Type="http://schemas.openxmlformats.org/officeDocument/2006/relationships/hyperlink" Target="https://researchonline.lse.ac.uk/id/eprint/24213/" TargetMode="External"/><Relationship Id="rId36" Type="http://schemas.openxmlformats.org/officeDocument/2006/relationships/hyperlink" Target="https://doi.org/10.1007/978-3-642-20441-8_3" TargetMode="External"/><Relationship Id="rId37" Type="http://schemas.openxmlformats.org/officeDocument/2006/relationships/hyperlink" Target="https://doi.org/10.1137/0133030" TargetMode="External"/><Relationship Id="rId38" Type="http://schemas.openxmlformats.org/officeDocument/2006/relationships/hyperlink" Target="https://doi.org/10.2307/2297786" TargetMode="External"/><Relationship Id="rId39" Type="http://schemas.openxmlformats.org/officeDocument/2006/relationships/hyperlink" Target="https://doi.org/10.1016/0022-0531(76)90063-6" TargetMode="External"/><Relationship Id="rId40" Type="http://schemas.openxmlformats.org/officeDocument/2006/relationships/hyperlink" Target="https://doi.org/10.1007/3-540-33799-7" TargetMode="External"/><Relationship Id="rId41" Type="http://schemas.openxmlformats.org/officeDocument/2006/relationships/hyperlink" Target="https://arxiv.org/abs/2410.20476" TargetMode="External"/><Relationship Id="rId42" Type="http://schemas.openxmlformats.org/officeDocument/2006/relationships/hyperlink" Target="https://doi.org/10.1007/s00355-023-01505-y" TargetMode="External"/><Relationship Id="rId43" Type="http://schemas.openxmlformats.org/officeDocument/2006/relationships/hyperlink" Target="https://arxiv.org/abs/2506.05998" TargetMode="External"/><Relationship Id="rId44" Type="http://schemas.openxmlformats.org/officeDocument/2006/relationships/hyperlink" Target="https://doi.org/10.2307/1914083" TargetMode="External"/><Relationship Id="rId45" Type="http://schemas.openxmlformats.org/officeDocument/2006/relationships/hyperlink" Target="https://doi.org/10.1007/s11127-026-01383-9" TargetMode="External"/><Relationship Id="rId46" Type="http://schemas.openxmlformats.org/officeDocument/2006/relationships/hyperlink" Target="https://doi.org/10.1007/s00355-015-0909-0" TargetMode="External"/><Relationship Id="rId47" Type="http://schemas.openxmlformats.org/officeDocument/2006/relationships/hyperlink" Target="https://doi.org/10.2307/1910410" TargetMode="External"/><Relationship Id="rId48" Type="http://schemas.openxmlformats.org/officeDocument/2006/relationships/hyperlink" Target="https://doi.org/10.3406/ecoap.1952.3831" TargetMode="External"/><Relationship Id="rId49" Type="http://schemas.openxmlformats.org/officeDocument/2006/relationships/hyperlink" Target="https://doi.org/10.1007/BF00125914" TargetMode="External"/><Relationship Id="rId50" Type="http://schemas.openxmlformats.org/officeDocument/2006/relationships/hyperlink" Target="https://doi.org/10.1007/s11127-023-01042-3" TargetMode="External"/><Relationship Id="rId51" Type="http://schemas.openxmlformats.org/officeDocument/2006/relationships/hyperlink" Target="https://doi.org/10.1007/s10602-022-09383-9" TargetMode="External"/><Relationship Id="rId52" Type="http://schemas.openxmlformats.org/officeDocument/2006/relationships/hyperlink" Target="https://doi.org/10.1007/978-1-349-14540-9_4" TargetMode="External"/><Relationship Id="rId53" Type="http://schemas.openxmlformats.org/officeDocument/2006/relationships/hyperlink" Target="https://doi.org/10.1609/aaai.v35i6.16691" TargetMode="External"/><Relationship Id="rId54" Type="http://schemas.openxmlformats.org/officeDocument/2006/relationships/hyperlink" Target="https://doi.org/10.1007/s10683-010-9234-8" TargetMode="External"/><Relationship Id="rId55" Type="http://schemas.openxmlformats.org/officeDocument/2006/relationships/hyperlink" Target="https://doi.org/10.1257/aer.20201817" TargetMode="External"/><Relationship Id="rId56" Type="http://schemas.openxmlformats.org/officeDocument/2006/relationships/hyperlink" Target="https://www.jstor.org/stable/20026529" TargetMode="External"/><Relationship Id="rId57" Type="http://schemas.openxmlformats.org/officeDocument/2006/relationships/hyperlink" Target="https://doi.org/10.65109/hmhq1427" TargetMode="External"/><Relationship Id="rId58" Type="http://schemas.openxmlformats.org/officeDocument/2006/relationships/hyperlink" Target="https://doi.org/10.1007/s11127-019-00697-1" TargetMode="External"/><Relationship Id="rId59" Type="http://schemas.openxmlformats.org/officeDocument/2006/relationships/hyperlink" Target="https://doi.org/10.3917/neg.027.0109" TargetMode="External"/><Relationship Id="rId60" Type="http://schemas.openxmlformats.org/officeDocument/2006/relationships/hyperlink" Target="https://doi.org/10.1006/game.1993.1010" TargetMode="External"/><Relationship Id="rId61" Type="http://schemas.openxmlformats.org/officeDocument/2006/relationships/hyperlink" Target="https://doi.org/10.1002/bs.3830360303" TargetMode="External"/><Relationship Id="rId62" Type="http://schemas.openxmlformats.org/officeDocument/2006/relationships/hyperlink" Target="https://doi.org/10.1007/978-3-642-02839-7" TargetMode="External"/><Relationship Id="rId63" Type="http://schemas.openxmlformats.org/officeDocument/2006/relationships/hyperlink" Target="https://doi.org/10.1007/978-3-642-20441-8_13" TargetMode="External"/><Relationship Id="rId64" Type="http://schemas.openxmlformats.org/officeDocument/2006/relationships/hyperlink" Target="https://doi.org/10.1016/j.jet.2021.105261" TargetMode="External"/><Relationship Id="rId65" Type="http://schemas.openxmlformats.org/officeDocument/2006/relationships/hyperlink" Target="https://doi.org/10.1093/biomet/44.1-2.114" TargetMode="External"/><Relationship Id="rId66" Type="http://schemas.openxmlformats.org/officeDocument/2006/relationships/hyperlink" Target="https://doi.org/10.1007/978-3-642-41575-3_20" TargetMode="External"/><Relationship Id="rId67" Type="http://schemas.openxmlformats.org/officeDocument/2006/relationships/hyperlink" Target="https://doi.org/10.2307/1907651" TargetMode="External"/><Relationship Id="rId68" Type="http://schemas.openxmlformats.org/officeDocument/2006/relationships/hyperlink" Target="https://doi.org/10.1016/0022-0531(76)90040-5" TargetMode="External"/><Relationship Id="rId69" Type="http://schemas.openxmlformats.org/officeDocument/2006/relationships/hyperlink" Target="https://doi.org/10.2307/2110786" TargetMode="External"/><Relationship Id="rId70" Type="http://schemas.openxmlformats.org/officeDocument/2006/relationships/hyperlink" Target="https://doi.org/10.1257/mic.20230208" TargetMode="External"/><Relationship Id="rId71" Type="http://schemas.openxmlformats.org/officeDocument/2006/relationships/hyperlink" Target="https://doi.org/10.2307/2297154" TargetMode="External"/><Relationship Id="rId72" Type="http://schemas.openxmlformats.org/officeDocument/2006/relationships/hyperlink" Target="https://doi.org/10.2307/1912535" TargetMode="External"/><Relationship Id="rId73" Type="http://schemas.openxmlformats.org/officeDocument/2006/relationships/hyperlink" Target="https://doi.org/10.1016/0022-0531(88)90253-0" TargetMode="External"/><Relationship Id="rId74" Type="http://schemas.openxmlformats.org/officeDocument/2006/relationships/hyperlink" Target="https://doi.org/10.1016/0047-2727(78)90005-1" TargetMode="External"/><Relationship Id="rId75" Type="http://schemas.openxmlformats.org/officeDocument/2006/relationships/hyperlink" Target="https://doi.org/10.1007/BF01763051" TargetMode="External"/><Relationship Id="rId76" Type="http://schemas.openxmlformats.org/officeDocument/2006/relationships/hyperlink" Target="https://doi.org/10.1016/j.geb.2020.11.006" TargetMode="External"/><Relationship Id="rId77" Type="http://schemas.openxmlformats.org/officeDocument/2006/relationships/hyperlink" Target="https://doi.org/10.1016/j.geb.2025.07.010" TargetMode="External"/><Relationship Id="rId78" Type="http://schemas.openxmlformats.org/officeDocument/2006/relationships/hyperlink" Target="https://www.jstor.org/stable/1815369" TargetMode="External"/><Relationship Id="rId79" Type="http://schemas.openxmlformats.org/officeDocument/2006/relationships/hyperlink" Target="https://doi.org/10.2307/1954283" TargetMode="External"/><Relationship Id="rId80" Type="http://schemas.openxmlformats.org/officeDocument/2006/relationships/hyperlink" Target="https://www.loc.gov/item/2005023291/" TargetMode="External"/><Relationship Id="rId81" Type="http://schemas.openxmlformats.org/officeDocument/2006/relationships/hyperlink" Target="https://doi.org/10.17487/RFC7282" TargetMode="External"/><Relationship Id="rId82" Type="http://schemas.openxmlformats.org/officeDocument/2006/relationships/hyperlink" Target="https://doi.org/10.1007/s10602-008-9037-5" TargetMode="External"/><Relationship Id="rId83" Type="http://schemas.openxmlformats.org/officeDocument/2006/relationships/hyperlink" Target="https://doi.org/10.1007/BF03187594" TargetMode="External"/><Relationship Id="rId84" Type="http://schemas.openxmlformats.org/officeDocument/2006/relationships/hyperlink" Target="https://doi.org/10.1016/0022-0531(75)90050-2" TargetMode="External"/><Relationship Id="rId85" Type="http://schemas.openxmlformats.org/officeDocument/2006/relationships/hyperlink" Target="https://doi.org/10.1007/s00355-010-0475-4" TargetMode="External"/><Relationship Id="rId86" Type="http://schemas.openxmlformats.org/officeDocument/2006/relationships/hyperlink" Target="https://doi.org/10.1007/s003550050164" TargetMode="External"/><Relationship Id="rId87" Type="http://schemas.openxmlformats.org/officeDocument/2006/relationships/hyperlink" Target="https://doi.org/10.2307/1880533" TargetMode="External"/><Relationship Id="rId88" Type="http://schemas.openxmlformats.org/officeDocument/2006/relationships/hyperlink" Target="https://doi.org/10.2307/1914033" TargetMode="External"/><Relationship Id="rId89" Type="http://schemas.openxmlformats.org/officeDocument/2006/relationships/hyperlink" Target="https://doi.org/10.1007/978-3-642-20441-8_9" TargetMode="External"/><Relationship Id="rId90" Type="http://schemas.openxmlformats.org/officeDocument/2006/relationships/hyperlink" Target="https://doi.org/10.1007/BF00433944" TargetMode="External"/><Relationship Id="rId91" Type="http://schemas.openxmlformats.org/officeDocument/2006/relationships/hyperlink" Target="https://www.loc.gov/item/2006021134/" TargetMode="External"/><Relationship Id="rId92" Type="http://schemas.openxmlformats.org/officeDocument/2006/relationships/hyperlink" Target="https://doi.org/10.1017/S0007123400007225" TargetMode="External"/><Relationship Id="rId93" Type="http://schemas.openxmlformats.org/officeDocument/2006/relationships/hyperlink" Target="https://doi.org/10.1515/9781400831456" TargetMode="External"/><Relationship Id="rId94" Type="http://schemas.openxmlformats.org/officeDocument/2006/relationships/hyperlink" Target="https://doi.org/10.1137/0135023" TargetMode="External"/><Relationship Id="rId95" Type="http://schemas.openxmlformats.org/officeDocument/2006/relationships/hyperlink" Target="https://doi.org/10.1016/0022-0531(74)90073-8" TargetMode="External"/><Relationship Id="rId96" Type="http://schemas.openxmlformats.org/officeDocument/2006/relationships/hyperlink" Target="https://doi.org/10.2307/1961757" TargetMode="External"/><Relationship Id="rId97" Type="http://schemas.openxmlformats.org/officeDocument/2006/relationships/hyperlink" Target="https://doi.org/10.1007/BF00303170" TargetMode="External"/><Relationship Id="rId98"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true" outlineLevel="0" collapsed="false">
      <c r="A1" s="1" t="s">
        <v>0</v>
      </c>
      <c r="B1" s="1"/>
    </row>
    <row r="2" customFormat="false" ht="15" hidden="false" customHeight="false" outlineLevel="0" collapsed="false">
      <c r="A2" s="2"/>
      <c r="B2" s="3"/>
    </row>
    <row r="3" customFormat="false" ht="23.8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t="s">
        <v>7</v>
      </c>
      <c r="B6" s="3" t="s">
        <v>8</v>
      </c>
    </row>
    <row r="7" customFormat="false" ht="35.05" hidden="false" customHeight="false" outlineLevel="0" collapsed="false">
      <c r="A7" s="2" t="s">
        <v>9</v>
      </c>
      <c r="B7" s="3" t="s">
        <v>10</v>
      </c>
    </row>
    <row r="8" customFormat="false" ht="15" hidden="false" customHeight="false" outlineLevel="0" collapsed="false">
      <c r="A8" s="2"/>
      <c r="B8" s="3"/>
    </row>
    <row r="9" customFormat="false" ht="15" hidden="false" customHeight="false" outlineLevel="0" collapsed="false">
      <c r="A9" s="4" t="s">
        <v>11</v>
      </c>
      <c r="B9" s="3"/>
    </row>
    <row r="10" customFormat="false" ht="15" hidden="false" customHeight="false" outlineLevel="0" collapsed="false">
      <c r="A10" s="2" t="s">
        <v>12</v>
      </c>
      <c r="B10" s="5" t="n">
        <f aca="false">COUNTA('Concepts to bibliography'!E2:E36)</f>
        <v>35</v>
      </c>
    </row>
    <row r="11" customFormat="false" ht="15" hidden="false" customHeight="false" outlineLevel="0" collapsed="false">
      <c r="A11" s="2" t="s">
        <v>13</v>
      </c>
      <c r="B11" s="5" t="n">
        <f aca="false">COUNTA('Bibliography to concepts'!D2:D99)</f>
        <v>98</v>
      </c>
    </row>
    <row r="12" customFormat="false" ht="15" hidden="false" customHeight="false" outlineLevel="0" collapsed="false">
      <c r="A12" s="2" t="s">
        <v>14</v>
      </c>
      <c r="B12" s="5" t="n">
        <f aca="false">SUM('Concepts to bibliography'!F2:F36)</f>
        <v>163</v>
      </c>
    </row>
    <row r="13" customFormat="false" ht="15" hidden="false" customHeight="false" outlineLevel="0" collapsed="false">
      <c r="A13" s="2" t="s">
        <v>15</v>
      </c>
      <c r="B13" s="5" t="n">
        <f aca="false">SUM('Bibliography to concepts'!I2:I99)</f>
        <v>163</v>
      </c>
    </row>
    <row r="14" customFormat="false" ht="15" hidden="false" customHeight="false" outlineLevel="0" collapsed="false">
      <c r="A14" s="2" t="s">
        <v>16</v>
      </c>
      <c r="B14" s="5" t="n">
        <f aca="false">COUNTIF(Matrix!C3:AK100,"x")</f>
        <v>163</v>
      </c>
    </row>
    <row r="15" customFormat="false" ht="15" hidden="false" customHeight="false" outlineLevel="0" collapsed="false">
      <c r="A15" s="2" t="s">
        <v>17</v>
      </c>
      <c r="B15" s="5" t="str">
        <f aca="false">IF(AND(B12=B13,B13=B14),"OK: both directions agree","MISMATCH")</f>
        <v>OK: both directions agree</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0"/>
    <col collapsed="false" customWidth="true" hidden="false" outlineLevel="0" max="3" min="3" style="0" width="60"/>
    <col collapsed="false" customWidth="true" hidden="false" outlineLevel="0" max="4" min="4" style="0" width="20"/>
    <col collapsed="false" customWidth="true" hidden="false" outlineLevel="0" max="6" min="5" style="0" width="10"/>
  </cols>
  <sheetData>
    <row r="1" customFormat="false" ht="30" hidden="false" customHeight="true" outlineLevel="0" collapsed="false">
      <c r="A1" s="6" t="s">
        <v>18</v>
      </c>
      <c r="B1" s="6" t="s">
        <v>13</v>
      </c>
      <c r="C1" s="6" t="s">
        <v>19</v>
      </c>
      <c r="D1" s="6" t="s">
        <v>20</v>
      </c>
      <c r="E1" s="6" t="s">
        <v>21</v>
      </c>
      <c r="F1" s="6" t="s">
        <v>22</v>
      </c>
    </row>
    <row r="2" customFormat="false" ht="102.2" hidden="false" customHeight="false" outlineLevel="0" collapsed="false">
      <c r="A2" s="7" t="s">
        <v>23</v>
      </c>
      <c r="B2" s="8" t="s">
        <v>24</v>
      </c>
      <c r="C2" s="8" t="s">
        <v>25</v>
      </c>
      <c r="D2" s="8" t="s">
        <v>26</v>
      </c>
      <c r="E2" s="8" t="s">
        <v>27</v>
      </c>
      <c r="F2" s="8" t="n">
        <f aca="false">COUNTIF(INDEX(Matrix!$C$3:$AK$100,0,MATCH(E2,Matrix!$C$2:$AK$2,0)),"x")</f>
        <v>7</v>
      </c>
    </row>
    <row r="3" customFormat="false" ht="135.8" hidden="false" customHeight="false" outlineLevel="0" collapsed="false">
      <c r="A3" s="7" t="s">
        <v>28</v>
      </c>
      <c r="B3" s="8" t="s">
        <v>29</v>
      </c>
      <c r="C3" s="8" t="s">
        <v>30</v>
      </c>
      <c r="D3" s="8" t="s">
        <v>31</v>
      </c>
      <c r="E3" s="8" t="s">
        <v>32</v>
      </c>
      <c r="F3" s="8" t="n">
        <f aca="false">COUNTIF(INDEX(Matrix!$C$3:$AK$100,0,MATCH(E3,Matrix!$C$2:$AK$2,0)),"x")</f>
        <v>7</v>
      </c>
    </row>
    <row r="4" customFormat="false" ht="68.65" hidden="false" customHeight="false" outlineLevel="0" collapsed="false">
      <c r="A4" s="7" t="s">
        <v>33</v>
      </c>
      <c r="B4" s="8" t="s">
        <v>34</v>
      </c>
      <c r="C4" s="8" t="s">
        <v>35</v>
      </c>
      <c r="D4" s="8" t="s">
        <v>36</v>
      </c>
      <c r="E4" s="8" t="s">
        <v>37</v>
      </c>
      <c r="F4" s="8" t="n">
        <f aca="false">COUNTIF(INDEX(Matrix!$C$3:$AK$100,0,MATCH(E4,Matrix!$C$2:$AK$2,0)),"x")</f>
        <v>5</v>
      </c>
    </row>
    <row r="5" customFormat="false" ht="35.05" hidden="false" customHeight="false" outlineLevel="0" collapsed="false">
      <c r="A5" s="7" t="s">
        <v>38</v>
      </c>
      <c r="B5" s="8" t="s">
        <v>39</v>
      </c>
      <c r="C5" s="8" t="s">
        <v>40</v>
      </c>
      <c r="D5" s="8" t="s">
        <v>41</v>
      </c>
      <c r="E5" s="8" t="s">
        <v>42</v>
      </c>
      <c r="F5" s="8" t="n">
        <f aca="false">COUNTIF(INDEX(Matrix!$C$3:$AK$100,0,MATCH(E5,Matrix!$C$2:$AK$2,0)),"x")</f>
        <v>2</v>
      </c>
    </row>
    <row r="6" customFormat="false" ht="35.05" hidden="false" customHeight="false" outlineLevel="0" collapsed="false">
      <c r="A6" s="7" t="s">
        <v>43</v>
      </c>
      <c r="B6" s="8" t="s">
        <v>44</v>
      </c>
      <c r="C6" s="8" t="s">
        <v>45</v>
      </c>
      <c r="D6" s="8" t="s">
        <v>46</v>
      </c>
      <c r="E6" s="8" t="s">
        <v>47</v>
      </c>
      <c r="F6" s="8" t="n">
        <f aca="false">COUNTIF(INDEX(Matrix!$C$3:$AK$100,0,MATCH(E6,Matrix!$C$2:$AK$2,0)),"x")</f>
        <v>3</v>
      </c>
    </row>
    <row r="7" customFormat="false" ht="35.05" hidden="false" customHeight="false" outlineLevel="0" collapsed="false">
      <c r="A7" s="7" t="s">
        <v>48</v>
      </c>
      <c r="B7" s="8" t="s">
        <v>49</v>
      </c>
      <c r="C7" s="8" t="s">
        <v>50</v>
      </c>
      <c r="D7" s="8" t="s">
        <v>46</v>
      </c>
      <c r="E7" s="8" t="s">
        <v>51</v>
      </c>
      <c r="F7" s="8" t="n">
        <f aca="false">COUNTIF(INDEX(Matrix!$C$3:$AK$100,0,MATCH(E7,Matrix!$C$2:$AK$2,0)),"x")</f>
        <v>2</v>
      </c>
    </row>
    <row r="8" customFormat="false" ht="79.85" hidden="false" customHeight="false" outlineLevel="0" collapsed="false">
      <c r="A8" s="7" t="s">
        <v>52</v>
      </c>
      <c r="B8" s="8" t="s">
        <v>53</v>
      </c>
      <c r="C8" s="8" t="s">
        <v>54</v>
      </c>
      <c r="D8" s="8" t="s">
        <v>55</v>
      </c>
      <c r="E8" s="8" t="s">
        <v>56</v>
      </c>
      <c r="F8" s="8" t="n">
        <f aca="false">COUNTIF(INDEX(Matrix!$C$3:$AK$100,0,MATCH(E8,Matrix!$C$2:$AK$2,0)),"x")</f>
        <v>6</v>
      </c>
    </row>
    <row r="9" customFormat="false" ht="35.05" hidden="false" customHeight="false" outlineLevel="0" collapsed="false">
      <c r="A9" s="7" t="s">
        <v>57</v>
      </c>
      <c r="B9" s="8" t="s">
        <v>58</v>
      </c>
      <c r="C9" s="8" t="s">
        <v>59</v>
      </c>
      <c r="D9" s="8" t="s">
        <v>60</v>
      </c>
      <c r="E9" s="8" t="s">
        <v>61</v>
      </c>
      <c r="F9" s="8" t="n">
        <f aca="false">COUNTIF(INDEX(Matrix!$C$3:$AK$100,0,MATCH(E9,Matrix!$C$2:$AK$2,0)),"x")</f>
        <v>2</v>
      </c>
    </row>
    <row r="10" customFormat="false" ht="68.65" hidden="false" customHeight="false" outlineLevel="0" collapsed="false">
      <c r="A10" s="7" t="s">
        <v>62</v>
      </c>
      <c r="B10" s="8" t="s">
        <v>63</v>
      </c>
      <c r="C10" s="8" t="s">
        <v>64</v>
      </c>
      <c r="D10" s="8" t="s">
        <v>65</v>
      </c>
      <c r="E10" s="8" t="s">
        <v>66</v>
      </c>
      <c r="F10" s="8" t="n">
        <f aca="false">COUNTIF(INDEX(Matrix!$C$3:$AK$100,0,MATCH(E10,Matrix!$C$2:$AK$2,0)),"x")</f>
        <v>5</v>
      </c>
    </row>
    <row r="11" customFormat="false" ht="79.85" hidden="false" customHeight="false" outlineLevel="0" collapsed="false">
      <c r="A11" s="7" t="s">
        <v>67</v>
      </c>
      <c r="B11" s="8" t="s">
        <v>68</v>
      </c>
      <c r="C11" s="8" t="s">
        <v>69</v>
      </c>
      <c r="D11" s="8" t="s">
        <v>70</v>
      </c>
      <c r="E11" s="8" t="s">
        <v>71</v>
      </c>
      <c r="F11" s="8" t="n">
        <f aca="false">COUNTIF(INDEX(Matrix!$C$3:$AK$100,0,MATCH(E11,Matrix!$C$2:$AK$2,0)),"x")</f>
        <v>6</v>
      </c>
    </row>
    <row r="12" customFormat="false" ht="35.05" hidden="false" customHeight="false" outlineLevel="0" collapsed="false">
      <c r="A12" s="7" t="s">
        <v>72</v>
      </c>
      <c r="B12" s="8" t="s">
        <v>73</v>
      </c>
      <c r="C12" s="8" t="s">
        <v>74</v>
      </c>
      <c r="D12" s="8" t="s">
        <v>75</v>
      </c>
      <c r="E12" s="8" t="s">
        <v>76</v>
      </c>
      <c r="F12" s="8" t="n">
        <f aca="false">COUNTIF(INDEX(Matrix!$C$3:$AK$100,0,MATCH(E12,Matrix!$C$2:$AK$2,0)),"x")</f>
        <v>3</v>
      </c>
    </row>
    <row r="13" customFormat="false" ht="91" hidden="false" customHeight="false" outlineLevel="0" collapsed="false">
      <c r="A13" s="7" t="s">
        <v>77</v>
      </c>
      <c r="B13" s="8" t="s">
        <v>78</v>
      </c>
      <c r="C13" s="8" t="s">
        <v>79</v>
      </c>
      <c r="D13" s="8" t="s">
        <v>80</v>
      </c>
      <c r="E13" s="8" t="s">
        <v>81</v>
      </c>
      <c r="F13" s="8" t="n">
        <f aca="false">COUNTIF(INDEX(Matrix!$C$3:$AK$100,0,MATCH(E13,Matrix!$C$2:$AK$2,0)),"x")</f>
        <v>5</v>
      </c>
    </row>
    <row r="14" customFormat="false" ht="57.45" hidden="false" customHeight="false" outlineLevel="0" collapsed="false">
      <c r="A14" s="7" t="s">
        <v>82</v>
      </c>
      <c r="B14" s="8" t="s">
        <v>83</v>
      </c>
      <c r="C14" s="8" t="s">
        <v>84</v>
      </c>
      <c r="D14" s="8" t="s">
        <v>85</v>
      </c>
      <c r="E14" s="8" t="s">
        <v>86</v>
      </c>
      <c r="F14" s="8" t="n">
        <f aca="false">COUNTIF(INDEX(Matrix!$C$3:$AK$100,0,MATCH(E14,Matrix!$C$2:$AK$2,0)),"x")</f>
        <v>4</v>
      </c>
    </row>
    <row r="15" customFormat="false" ht="124.6" hidden="false" customHeight="false" outlineLevel="0" collapsed="false">
      <c r="A15" s="7" t="s">
        <v>87</v>
      </c>
      <c r="B15" s="8" t="s">
        <v>88</v>
      </c>
      <c r="C15" s="8" t="s">
        <v>89</v>
      </c>
      <c r="D15" s="8" t="s">
        <v>90</v>
      </c>
      <c r="E15" s="8" t="s">
        <v>91</v>
      </c>
      <c r="F15" s="8" t="n">
        <f aca="false">COUNTIF(INDEX(Matrix!$C$3:$AK$100,0,MATCH(E15,Matrix!$C$2:$AK$2,0)),"x")</f>
        <v>8</v>
      </c>
    </row>
    <row r="16" customFormat="false" ht="79.85" hidden="false" customHeight="false" outlineLevel="0" collapsed="false">
      <c r="A16" s="7" t="s">
        <v>92</v>
      </c>
      <c r="B16" s="8" t="s">
        <v>93</v>
      </c>
      <c r="C16" s="8" t="s">
        <v>94</v>
      </c>
      <c r="D16" s="8" t="s">
        <v>85</v>
      </c>
      <c r="E16" s="8" t="s">
        <v>95</v>
      </c>
      <c r="F16" s="8" t="n">
        <f aca="false">COUNTIF(INDEX(Matrix!$C$3:$AK$100,0,MATCH(E16,Matrix!$C$2:$AK$2,0)),"x")</f>
        <v>5</v>
      </c>
    </row>
    <row r="17" customFormat="false" ht="23.85" hidden="false" customHeight="false" outlineLevel="0" collapsed="false">
      <c r="A17" s="7" t="s">
        <v>96</v>
      </c>
      <c r="B17" s="8" t="s">
        <v>97</v>
      </c>
      <c r="C17" s="8" t="s">
        <v>98</v>
      </c>
      <c r="D17" s="8" t="s">
        <v>99</v>
      </c>
      <c r="E17" s="8" t="s">
        <v>100</v>
      </c>
      <c r="F17" s="8" t="n">
        <f aca="false">COUNTIF(INDEX(Matrix!$C$3:$AK$100,0,MATCH(E17,Matrix!$C$2:$AK$2,0)),"x")</f>
        <v>2</v>
      </c>
    </row>
    <row r="18" customFormat="false" ht="46.25" hidden="false" customHeight="false" outlineLevel="0" collapsed="false">
      <c r="A18" s="7" t="s">
        <v>101</v>
      </c>
      <c r="B18" s="8" t="s">
        <v>102</v>
      </c>
      <c r="C18" s="8" t="s">
        <v>103</v>
      </c>
      <c r="D18" s="8" t="s">
        <v>104</v>
      </c>
      <c r="E18" s="8" t="s">
        <v>105</v>
      </c>
      <c r="F18" s="8" t="n">
        <f aca="false">COUNTIF(INDEX(Matrix!$C$3:$AK$100,0,MATCH(E18,Matrix!$C$2:$AK$2,0)),"x")</f>
        <v>3</v>
      </c>
    </row>
    <row r="19" customFormat="false" ht="46.25" hidden="false" customHeight="false" outlineLevel="0" collapsed="false">
      <c r="A19" s="7" t="s">
        <v>106</v>
      </c>
      <c r="B19" s="8" t="s">
        <v>107</v>
      </c>
      <c r="C19" s="8" t="s">
        <v>108</v>
      </c>
      <c r="D19" s="8" t="s">
        <v>109</v>
      </c>
      <c r="E19" s="8" t="s">
        <v>110</v>
      </c>
      <c r="F19" s="8" t="n">
        <f aca="false">COUNTIF(INDEX(Matrix!$C$3:$AK$100,0,MATCH(E19,Matrix!$C$2:$AK$2,0)),"x")</f>
        <v>4</v>
      </c>
    </row>
    <row r="20" customFormat="false" ht="46.25" hidden="false" customHeight="false" outlineLevel="0" collapsed="false">
      <c r="A20" s="7" t="s">
        <v>111</v>
      </c>
      <c r="B20" s="8" t="s">
        <v>112</v>
      </c>
      <c r="C20" s="8" t="s">
        <v>113</v>
      </c>
      <c r="D20" s="8" t="s">
        <v>114</v>
      </c>
      <c r="E20" s="8" t="s">
        <v>115</v>
      </c>
      <c r="F20" s="8" t="n">
        <f aca="false">COUNTIF(INDEX(Matrix!$C$3:$AK$100,0,MATCH(E20,Matrix!$C$2:$AK$2,0)),"x")</f>
        <v>3</v>
      </c>
    </row>
    <row r="21" customFormat="false" ht="158.2" hidden="false" customHeight="false" outlineLevel="0" collapsed="false">
      <c r="A21" s="7" t="s">
        <v>116</v>
      </c>
      <c r="B21" s="8" t="s">
        <v>117</v>
      </c>
      <c r="C21" s="8" t="s">
        <v>118</v>
      </c>
      <c r="D21" s="8" t="s">
        <v>119</v>
      </c>
      <c r="E21" s="8" t="s">
        <v>120</v>
      </c>
      <c r="F21" s="8" t="n">
        <f aca="false">COUNTIF(INDEX(Matrix!$C$3:$AK$100,0,MATCH(E21,Matrix!$C$2:$AK$2,0)),"x")</f>
        <v>9</v>
      </c>
    </row>
    <row r="22" customFormat="false" ht="191.75" hidden="false" customHeight="false" outlineLevel="0" collapsed="false">
      <c r="A22" s="7" t="s">
        <v>121</v>
      </c>
      <c r="B22" s="8" t="s">
        <v>122</v>
      </c>
      <c r="C22" s="8" t="s">
        <v>123</v>
      </c>
      <c r="D22" s="8" t="s">
        <v>124</v>
      </c>
      <c r="E22" s="8" t="s">
        <v>125</v>
      </c>
      <c r="F22" s="8" t="n">
        <f aca="false">COUNTIF(INDEX(Matrix!$C$3:$AK$100,0,MATCH(E22,Matrix!$C$2:$AK$2,0)),"x")</f>
        <v>11</v>
      </c>
    </row>
    <row r="23" customFormat="false" ht="124.6" hidden="false" customHeight="false" outlineLevel="0" collapsed="false">
      <c r="A23" s="7" t="s">
        <v>126</v>
      </c>
      <c r="B23" s="8" t="s">
        <v>127</v>
      </c>
      <c r="C23" s="8" t="s">
        <v>128</v>
      </c>
      <c r="D23" s="8" t="s">
        <v>129</v>
      </c>
      <c r="E23" s="8" t="s">
        <v>130</v>
      </c>
      <c r="F23" s="8" t="n">
        <f aca="false">COUNTIF(INDEX(Matrix!$C$3:$AK$100,0,MATCH(E23,Matrix!$C$2:$AK$2,0)),"x")</f>
        <v>7</v>
      </c>
    </row>
    <row r="24" customFormat="false" ht="102.2" hidden="false" customHeight="false" outlineLevel="0" collapsed="false">
      <c r="A24" s="7" t="s">
        <v>131</v>
      </c>
      <c r="B24" s="8" t="s">
        <v>132</v>
      </c>
      <c r="C24" s="8" t="s">
        <v>133</v>
      </c>
      <c r="D24" s="8" t="s">
        <v>129</v>
      </c>
      <c r="E24" s="8" t="s">
        <v>134</v>
      </c>
      <c r="F24" s="8" t="n">
        <f aca="false">COUNTIF(INDEX(Matrix!$C$3:$AK$100,0,MATCH(E24,Matrix!$C$2:$AK$2,0)),"x")</f>
        <v>6</v>
      </c>
    </row>
    <row r="25" customFormat="false" ht="57.45" hidden="false" customHeight="false" outlineLevel="0" collapsed="false">
      <c r="A25" s="7" t="s">
        <v>135</v>
      </c>
      <c r="B25" s="8" t="s">
        <v>136</v>
      </c>
      <c r="C25" s="8" t="s">
        <v>137</v>
      </c>
      <c r="D25" s="8" t="s">
        <v>138</v>
      </c>
      <c r="E25" s="8" t="s">
        <v>139</v>
      </c>
      <c r="F25" s="8" t="n">
        <f aca="false">COUNTIF(INDEX(Matrix!$C$3:$AK$100,0,MATCH(E25,Matrix!$C$2:$AK$2,0)),"x")</f>
        <v>4</v>
      </c>
    </row>
    <row r="26" customFormat="false" ht="46.25" hidden="false" customHeight="false" outlineLevel="0" collapsed="false">
      <c r="A26" s="7" t="s">
        <v>140</v>
      </c>
      <c r="B26" s="8" t="s">
        <v>141</v>
      </c>
      <c r="C26" s="8" t="s">
        <v>142</v>
      </c>
      <c r="D26" s="8" t="s">
        <v>143</v>
      </c>
      <c r="E26" s="8" t="s">
        <v>144</v>
      </c>
      <c r="F26" s="8" t="n">
        <f aca="false">COUNTIF(INDEX(Matrix!$C$3:$AK$100,0,MATCH(E26,Matrix!$C$2:$AK$2,0)),"x")</f>
        <v>4</v>
      </c>
    </row>
    <row r="27" customFormat="false" ht="79.85" hidden="false" customHeight="false" outlineLevel="0" collapsed="false">
      <c r="A27" s="7" t="s">
        <v>145</v>
      </c>
      <c r="B27" s="8" t="s">
        <v>146</v>
      </c>
      <c r="C27" s="8" t="s">
        <v>147</v>
      </c>
      <c r="D27" s="8" t="s">
        <v>148</v>
      </c>
      <c r="E27" s="8" t="s">
        <v>149</v>
      </c>
      <c r="F27" s="8" t="n">
        <f aca="false">COUNTIF(INDEX(Matrix!$C$3:$AK$100,0,MATCH(E27,Matrix!$C$2:$AK$2,0)),"x")</f>
        <v>6</v>
      </c>
    </row>
    <row r="28" customFormat="false" ht="23.85" hidden="false" customHeight="false" outlineLevel="0" collapsed="false">
      <c r="A28" s="7" t="s">
        <v>150</v>
      </c>
      <c r="B28" s="8" t="s">
        <v>151</v>
      </c>
      <c r="C28" s="8" t="s">
        <v>152</v>
      </c>
      <c r="D28" s="8" t="s">
        <v>153</v>
      </c>
      <c r="E28" s="8" t="s">
        <v>154</v>
      </c>
      <c r="F28" s="8" t="n">
        <f aca="false">COUNTIF(INDEX(Matrix!$C$3:$AK$100,0,MATCH(E28,Matrix!$C$2:$AK$2,0)),"x")</f>
        <v>1</v>
      </c>
    </row>
    <row r="29" customFormat="false" ht="68.65" hidden="false" customHeight="false" outlineLevel="0" collapsed="false">
      <c r="A29" s="7" t="s">
        <v>155</v>
      </c>
      <c r="B29" s="8" t="s">
        <v>156</v>
      </c>
      <c r="C29" s="8" t="s">
        <v>157</v>
      </c>
      <c r="D29" s="8" t="s">
        <v>143</v>
      </c>
      <c r="E29" s="8" t="s">
        <v>158</v>
      </c>
      <c r="F29" s="8" t="n">
        <f aca="false">COUNTIF(INDEX(Matrix!$C$3:$AK$100,0,MATCH(E29,Matrix!$C$2:$AK$2,0)),"x")</f>
        <v>4</v>
      </c>
    </row>
    <row r="30" customFormat="false" ht="57.45" hidden="false" customHeight="false" outlineLevel="0" collapsed="false">
      <c r="A30" s="7" t="s">
        <v>159</v>
      </c>
      <c r="B30" s="8" t="s">
        <v>160</v>
      </c>
      <c r="C30" s="8" t="s">
        <v>161</v>
      </c>
      <c r="D30" s="8" t="s">
        <v>162</v>
      </c>
      <c r="E30" s="8" t="s">
        <v>163</v>
      </c>
      <c r="F30" s="8" t="n">
        <f aca="false">COUNTIF(INDEX(Matrix!$C$3:$AK$100,0,MATCH(E30,Matrix!$C$2:$AK$2,0)),"x")</f>
        <v>5</v>
      </c>
    </row>
    <row r="31" customFormat="false" ht="46.25" hidden="false" customHeight="false" outlineLevel="0" collapsed="false">
      <c r="A31" s="7" t="s">
        <v>164</v>
      </c>
      <c r="B31" s="8" t="s">
        <v>165</v>
      </c>
      <c r="C31" s="8" t="s">
        <v>166</v>
      </c>
      <c r="D31" s="8" t="s">
        <v>167</v>
      </c>
      <c r="E31" s="8" t="s">
        <v>168</v>
      </c>
      <c r="F31" s="8" t="n">
        <f aca="false">COUNTIF(INDEX(Matrix!$C$3:$AK$100,0,MATCH(E31,Matrix!$C$2:$AK$2,0)),"x")</f>
        <v>2</v>
      </c>
    </row>
    <row r="32" customFormat="false" ht="57.45" hidden="false" customHeight="false" outlineLevel="0" collapsed="false">
      <c r="A32" s="7" t="s">
        <v>169</v>
      </c>
      <c r="B32" s="8" t="s">
        <v>170</v>
      </c>
      <c r="C32" s="8" t="s">
        <v>171</v>
      </c>
      <c r="D32" s="8" t="s">
        <v>172</v>
      </c>
      <c r="E32" s="8" t="s">
        <v>173</v>
      </c>
      <c r="F32" s="8" t="n">
        <f aca="false">COUNTIF(INDEX(Matrix!$C$3:$AK$100,0,MATCH(E32,Matrix!$C$2:$AK$2,0)),"x")</f>
        <v>3</v>
      </c>
    </row>
    <row r="33" customFormat="false" ht="147" hidden="false" customHeight="false" outlineLevel="0" collapsed="false">
      <c r="A33" s="7" t="s">
        <v>174</v>
      </c>
      <c r="B33" s="8" t="s">
        <v>175</v>
      </c>
      <c r="C33" s="8" t="s">
        <v>176</v>
      </c>
      <c r="D33" s="8" t="s">
        <v>177</v>
      </c>
      <c r="E33" s="8" t="s">
        <v>178</v>
      </c>
      <c r="F33" s="8" t="n">
        <f aca="false">COUNTIF(INDEX(Matrix!$C$3:$AK$100,0,MATCH(E33,Matrix!$C$2:$AK$2,0)),"x")</f>
        <v>10</v>
      </c>
    </row>
    <row r="34" customFormat="false" ht="124.6" hidden="false" customHeight="false" outlineLevel="0" collapsed="false">
      <c r="A34" s="7" t="s">
        <v>179</v>
      </c>
      <c r="B34" s="8" t="s">
        <v>180</v>
      </c>
      <c r="C34" s="8" t="s">
        <v>181</v>
      </c>
      <c r="D34" s="8" t="s">
        <v>182</v>
      </c>
      <c r="E34" s="8" t="s">
        <v>183</v>
      </c>
      <c r="F34" s="8" t="n">
        <f aca="false">COUNTIF(INDEX(Matrix!$C$3:$AK$100,0,MATCH(E34,Matrix!$C$2:$AK$2,0)),"x")</f>
        <v>7</v>
      </c>
    </row>
    <row r="35" customFormat="false" ht="23.85" hidden="false" customHeight="false" outlineLevel="0" collapsed="false">
      <c r="A35" s="7" t="s">
        <v>184</v>
      </c>
      <c r="B35" s="8" t="s">
        <v>185</v>
      </c>
      <c r="C35" s="8" t="s">
        <v>186</v>
      </c>
      <c r="D35" s="8" t="s">
        <v>187</v>
      </c>
      <c r="E35" s="8" t="s">
        <v>188</v>
      </c>
      <c r="F35" s="8" t="n">
        <f aca="false">COUNTIF(INDEX(Matrix!$C$3:$AK$100,0,MATCH(E35,Matrix!$C$2:$AK$2,0)),"x")</f>
        <v>1</v>
      </c>
    </row>
    <row r="36" customFormat="false" ht="23.85" hidden="false" customHeight="false" outlineLevel="0" collapsed="false">
      <c r="A36" s="7" t="s">
        <v>189</v>
      </c>
      <c r="B36" s="8" t="s">
        <v>190</v>
      </c>
      <c r="C36" s="8" t="s">
        <v>191</v>
      </c>
      <c r="D36" s="8" t="s">
        <v>129</v>
      </c>
      <c r="E36" s="8" t="s">
        <v>192</v>
      </c>
      <c r="F36" s="8" t="n">
        <f aca="false">COUNTIF(INDEX(Matrix!$C$3:$AK$100,0,MATCH(E36,Matrix!$C$2:$AK$2,0)),"x")</f>
        <v>1</v>
      </c>
    </row>
  </sheetData>
  <autoFilter ref="A1:F3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60"/>
    <col collapsed="false" customWidth="true" hidden="false" outlineLevel="0" max="4" min="4" style="0" width="24"/>
    <col collapsed="false" customWidth="true" hidden="false" outlineLevel="0" max="5" min="5" style="0" width="22"/>
    <col collapsed="false" customWidth="true" hidden="false" outlineLevel="0" max="6" min="6" style="0" width="60"/>
    <col collapsed="false" customWidth="true" hidden="false" outlineLevel="0" max="8" min="7" style="0" width="30"/>
    <col collapsed="false" customWidth="true" hidden="false" outlineLevel="0" max="9" min="9" style="0" width="10"/>
  </cols>
  <sheetData>
    <row r="1" customFormat="false" ht="30" hidden="false" customHeight="true" outlineLevel="0" collapsed="false">
      <c r="A1" s="6" t="s">
        <v>193</v>
      </c>
      <c r="B1" s="6" t="s">
        <v>194</v>
      </c>
      <c r="C1" s="6" t="s">
        <v>195</v>
      </c>
      <c r="D1" s="6" t="s">
        <v>196</v>
      </c>
      <c r="E1" s="6" t="s">
        <v>197</v>
      </c>
      <c r="F1" s="6" t="s">
        <v>198</v>
      </c>
      <c r="G1" s="6" t="s">
        <v>199</v>
      </c>
      <c r="H1" s="6" t="s">
        <v>200</v>
      </c>
      <c r="I1" s="6" t="s">
        <v>201</v>
      </c>
    </row>
    <row r="2" customFormat="false" ht="35.05" hidden="false" customHeight="false" outlineLevel="0" collapsed="false">
      <c r="A2" s="7" t="s">
        <v>202</v>
      </c>
      <c r="B2" s="8" t="s">
        <v>203</v>
      </c>
      <c r="C2" s="8" t="s">
        <v>204</v>
      </c>
      <c r="D2" s="8" t="s">
        <v>205</v>
      </c>
      <c r="E2" s="8" t="s">
        <v>206</v>
      </c>
      <c r="F2" s="8" t="s">
        <v>207</v>
      </c>
      <c r="G2" s="9" t="s">
        <v>208</v>
      </c>
      <c r="H2" s="8"/>
      <c r="I2" s="8" t="n">
        <f aca="false">COUNTIF(INDEX(Matrix!$C$3:$AK$100,MATCH(D2,Matrix!$B$3:$B$100,0),0),"x")</f>
        <v>2</v>
      </c>
    </row>
    <row r="3" customFormat="false" ht="23.85" hidden="false" customHeight="false" outlineLevel="0" collapsed="false">
      <c r="A3" s="7" t="s">
        <v>209</v>
      </c>
      <c r="B3" s="8" t="s">
        <v>210</v>
      </c>
      <c r="C3" s="8" t="s">
        <v>211</v>
      </c>
      <c r="D3" s="8" t="s">
        <v>212</v>
      </c>
      <c r="E3" s="8" t="s">
        <v>206</v>
      </c>
      <c r="F3" s="8" t="s">
        <v>213</v>
      </c>
      <c r="G3" s="9" t="s">
        <v>214</v>
      </c>
      <c r="H3" s="8"/>
      <c r="I3" s="8" t="n">
        <f aca="false">COUNTIF(INDEX(Matrix!$C$3:$AK$100,MATCH(D3,Matrix!$B$3:$B$100,0),0),"x")</f>
        <v>2</v>
      </c>
    </row>
    <row r="4" customFormat="false" ht="46.25" hidden="false" customHeight="false" outlineLevel="0" collapsed="false">
      <c r="A4" s="7" t="s">
        <v>215</v>
      </c>
      <c r="B4" s="8" t="s">
        <v>216</v>
      </c>
      <c r="C4" s="8" t="s">
        <v>217</v>
      </c>
      <c r="D4" s="8" t="s">
        <v>218</v>
      </c>
      <c r="E4" s="8" t="s">
        <v>206</v>
      </c>
      <c r="F4" s="8" t="s">
        <v>219</v>
      </c>
      <c r="G4" s="9" t="s">
        <v>220</v>
      </c>
      <c r="H4" s="8"/>
      <c r="I4" s="8" t="n">
        <f aca="false">COUNTIF(INDEX(Matrix!$C$3:$AK$100,MATCH(D4,Matrix!$B$3:$B$100,0),0),"x")</f>
        <v>2</v>
      </c>
    </row>
    <row r="5" customFormat="false" ht="35.05" hidden="false" customHeight="false" outlineLevel="0" collapsed="false">
      <c r="A5" s="7" t="s">
        <v>221</v>
      </c>
      <c r="B5" s="8" t="s">
        <v>222</v>
      </c>
      <c r="C5" s="8" t="s">
        <v>223</v>
      </c>
      <c r="D5" s="8" t="s">
        <v>224</v>
      </c>
      <c r="E5" s="8" t="s">
        <v>206</v>
      </c>
      <c r="F5" s="8" t="s">
        <v>225</v>
      </c>
      <c r="G5" s="9" t="s">
        <v>226</v>
      </c>
      <c r="H5" s="8"/>
      <c r="I5" s="8" t="n">
        <f aca="false">COUNTIF(INDEX(Matrix!$C$3:$AK$100,MATCH(D5,Matrix!$B$3:$B$100,0),0),"x")</f>
        <v>2</v>
      </c>
    </row>
    <row r="6" customFormat="false" ht="35.05" hidden="false" customHeight="false" outlineLevel="0" collapsed="false">
      <c r="A6" s="7" t="s">
        <v>227</v>
      </c>
      <c r="B6" s="8" t="s">
        <v>228</v>
      </c>
      <c r="C6" s="8" t="s">
        <v>229</v>
      </c>
      <c r="D6" s="8" t="s">
        <v>230</v>
      </c>
      <c r="E6" s="8" t="s">
        <v>206</v>
      </c>
      <c r="F6" s="8" t="s">
        <v>231</v>
      </c>
      <c r="G6" s="9" t="s">
        <v>232</v>
      </c>
      <c r="H6" s="8"/>
      <c r="I6" s="8" t="n">
        <f aca="false">COUNTIF(INDEX(Matrix!$C$3:$AK$100,MATCH(D6,Matrix!$B$3:$B$100,0),0),"x")</f>
        <v>1</v>
      </c>
    </row>
    <row r="7" customFormat="false" ht="35.05" hidden="false" customHeight="false" outlineLevel="0" collapsed="false">
      <c r="A7" s="7" t="s">
        <v>233</v>
      </c>
      <c r="B7" s="8" t="s">
        <v>234</v>
      </c>
      <c r="C7" s="8" t="s">
        <v>235</v>
      </c>
      <c r="D7" s="8" t="s">
        <v>236</v>
      </c>
      <c r="E7" s="8" t="s">
        <v>237</v>
      </c>
      <c r="F7" s="8" t="s">
        <v>238</v>
      </c>
      <c r="G7" s="9" t="s">
        <v>239</v>
      </c>
      <c r="H7" s="8"/>
      <c r="I7" s="8" t="n">
        <f aca="false">COUNTIF(INDEX(Matrix!$C$3:$AK$100,MATCH(D7,Matrix!$B$3:$B$100,0),0),"x")</f>
        <v>1</v>
      </c>
    </row>
    <row r="8" customFormat="false" ht="35.05" hidden="false" customHeight="false" outlineLevel="0" collapsed="false">
      <c r="A8" s="7" t="s">
        <v>240</v>
      </c>
      <c r="B8" s="8" t="s">
        <v>241</v>
      </c>
      <c r="C8" s="8" t="s">
        <v>242</v>
      </c>
      <c r="D8" s="8" t="s">
        <v>243</v>
      </c>
      <c r="E8" s="8" t="s">
        <v>244</v>
      </c>
      <c r="F8" s="8" t="s">
        <v>245</v>
      </c>
      <c r="G8" s="9" t="s">
        <v>246</v>
      </c>
      <c r="H8" s="8"/>
      <c r="I8" s="8" t="n">
        <f aca="false">COUNTIF(INDEX(Matrix!$C$3:$AK$100,MATCH(D8,Matrix!$B$3:$B$100,0),0),"x")</f>
        <v>1</v>
      </c>
    </row>
    <row r="9" customFormat="false" ht="23.85" hidden="false" customHeight="false" outlineLevel="0" collapsed="false">
      <c r="A9" s="7" t="s">
        <v>247</v>
      </c>
      <c r="B9" s="8" t="s">
        <v>241</v>
      </c>
      <c r="C9" s="8" t="s">
        <v>248</v>
      </c>
      <c r="D9" s="8" t="s">
        <v>249</v>
      </c>
      <c r="E9" s="8" t="s">
        <v>244</v>
      </c>
      <c r="F9" s="8" t="s">
        <v>250</v>
      </c>
      <c r="G9" s="9" t="s">
        <v>251</v>
      </c>
      <c r="H9" s="8"/>
      <c r="I9" s="8" t="n">
        <f aca="false">COUNTIF(INDEX(Matrix!$C$3:$AK$100,MATCH(D9,Matrix!$B$3:$B$100,0),0),"x")</f>
        <v>1</v>
      </c>
    </row>
    <row r="10" customFormat="false" ht="23.85" hidden="false" customHeight="false" outlineLevel="0" collapsed="false">
      <c r="A10" s="7" t="s">
        <v>252</v>
      </c>
      <c r="B10" s="8" t="s">
        <v>253</v>
      </c>
      <c r="C10" s="8" t="s">
        <v>254</v>
      </c>
      <c r="D10" s="8" t="s">
        <v>255</v>
      </c>
      <c r="E10" s="8" t="s">
        <v>206</v>
      </c>
      <c r="F10" s="8" t="s">
        <v>256</v>
      </c>
      <c r="G10" s="9" t="s">
        <v>257</v>
      </c>
      <c r="H10" s="8"/>
      <c r="I10" s="8" t="n">
        <f aca="false">COUNTIF(INDEX(Matrix!$C$3:$AK$100,MATCH(D10,Matrix!$B$3:$B$100,0),0),"x")</f>
        <v>1</v>
      </c>
    </row>
    <row r="11" customFormat="false" ht="23.85" hidden="false" customHeight="false" outlineLevel="0" collapsed="false">
      <c r="A11" s="7" t="s">
        <v>258</v>
      </c>
      <c r="B11" s="8" t="s">
        <v>253</v>
      </c>
      <c r="C11" s="8" t="s">
        <v>259</v>
      </c>
      <c r="D11" s="8" t="s">
        <v>260</v>
      </c>
      <c r="E11" s="8" t="s">
        <v>261</v>
      </c>
      <c r="F11" s="8" t="s">
        <v>262</v>
      </c>
      <c r="G11" s="9" t="s">
        <v>263</v>
      </c>
      <c r="H11" s="8"/>
      <c r="I11" s="8" t="n">
        <f aca="false">COUNTIF(INDEX(Matrix!$C$3:$AK$100,MATCH(D11,Matrix!$B$3:$B$100,0),0),"x")</f>
        <v>1</v>
      </c>
    </row>
    <row r="12" customFormat="false" ht="23.85" hidden="false" customHeight="false" outlineLevel="0" collapsed="false">
      <c r="A12" s="7" t="s">
        <v>264</v>
      </c>
      <c r="B12" s="8" t="s">
        <v>265</v>
      </c>
      <c r="C12" s="8" t="s">
        <v>266</v>
      </c>
      <c r="D12" s="8" t="s">
        <v>267</v>
      </c>
      <c r="E12" s="8" t="s">
        <v>268</v>
      </c>
      <c r="F12" s="8" t="s">
        <v>269</v>
      </c>
      <c r="G12" s="9" t="s">
        <v>270</v>
      </c>
      <c r="H12" s="8"/>
      <c r="I12" s="8" t="n">
        <f aca="false">COUNTIF(INDEX(Matrix!$C$3:$AK$100,MATCH(D12,Matrix!$B$3:$B$100,0),0),"x")</f>
        <v>2</v>
      </c>
    </row>
    <row r="13" customFormat="false" ht="35.05" hidden="false" customHeight="false" outlineLevel="0" collapsed="false">
      <c r="A13" s="7" t="s">
        <v>271</v>
      </c>
      <c r="B13" s="8" t="s">
        <v>272</v>
      </c>
      <c r="C13" s="8" t="s">
        <v>273</v>
      </c>
      <c r="D13" s="8" t="s">
        <v>274</v>
      </c>
      <c r="E13" s="8" t="s">
        <v>268</v>
      </c>
      <c r="F13" s="8" t="s">
        <v>275</v>
      </c>
      <c r="G13" s="9" t="s">
        <v>276</v>
      </c>
      <c r="H13" s="8"/>
      <c r="I13" s="8" t="n">
        <f aca="false">COUNTIF(INDEX(Matrix!$C$3:$AK$100,MATCH(D13,Matrix!$B$3:$B$100,0),0),"x")</f>
        <v>2</v>
      </c>
    </row>
    <row r="14" customFormat="false" ht="35.05" hidden="false" customHeight="false" outlineLevel="0" collapsed="false">
      <c r="A14" s="7" t="s">
        <v>277</v>
      </c>
      <c r="B14" s="8" t="s">
        <v>278</v>
      </c>
      <c r="C14" s="8" t="s">
        <v>279</v>
      </c>
      <c r="D14" s="8" t="s">
        <v>280</v>
      </c>
      <c r="E14" s="8" t="s">
        <v>281</v>
      </c>
      <c r="F14" s="8" t="s">
        <v>282</v>
      </c>
      <c r="G14" s="9" t="s">
        <v>283</v>
      </c>
      <c r="H14" s="8"/>
      <c r="I14" s="8" t="n">
        <f aca="false">COUNTIF(INDEX(Matrix!$C$3:$AK$100,MATCH(D14,Matrix!$B$3:$B$100,0),0),"x")</f>
        <v>2</v>
      </c>
    </row>
    <row r="15" customFormat="false" ht="35.05" hidden="false" customHeight="false" outlineLevel="0" collapsed="false">
      <c r="A15" s="7" t="s">
        <v>284</v>
      </c>
      <c r="B15" s="8" t="s">
        <v>285</v>
      </c>
      <c r="C15" s="8" t="s">
        <v>286</v>
      </c>
      <c r="D15" s="8" t="s">
        <v>287</v>
      </c>
      <c r="E15" s="8" t="s">
        <v>237</v>
      </c>
      <c r="F15" s="8" t="s">
        <v>288</v>
      </c>
      <c r="G15" s="9" t="s">
        <v>289</v>
      </c>
      <c r="H15" s="8"/>
      <c r="I15" s="8" t="n">
        <f aca="false">COUNTIF(INDEX(Matrix!$C$3:$AK$100,MATCH(D15,Matrix!$B$3:$B$100,0),0),"x")</f>
        <v>1</v>
      </c>
    </row>
    <row r="16" customFormat="false" ht="35.05" hidden="false" customHeight="false" outlineLevel="0" collapsed="false">
      <c r="A16" s="7" t="s">
        <v>290</v>
      </c>
      <c r="B16" s="8" t="s">
        <v>291</v>
      </c>
      <c r="C16" s="8" t="s">
        <v>292</v>
      </c>
      <c r="D16" s="8" t="s">
        <v>293</v>
      </c>
      <c r="E16" s="8" t="s">
        <v>294</v>
      </c>
      <c r="F16" s="8" t="s">
        <v>295</v>
      </c>
      <c r="G16" s="9" t="s">
        <v>296</v>
      </c>
      <c r="H16" s="8"/>
      <c r="I16" s="8" t="n">
        <f aca="false">COUNTIF(INDEX(Matrix!$C$3:$AK$100,MATCH(D16,Matrix!$B$3:$B$100,0),0),"x")</f>
        <v>2</v>
      </c>
    </row>
    <row r="17" customFormat="false" ht="35.05" hidden="false" customHeight="false" outlineLevel="0" collapsed="false">
      <c r="A17" s="7" t="s">
        <v>297</v>
      </c>
      <c r="B17" s="8" t="s">
        <v>298</v>
      </c>
      <c r="C17" s="8" t="s">
        <v>299</v>
      </c>
      <c r="D17" s="8" t="s">
        <v>300</v>
      </c>
      <c r="E17" s="8" t="s">
        <v>206</v>
      </c>
      <c r="F17" s="8" t="s">
        <v>301</v>
      </c>
      <c r="G17" s="9" t="s">
        <v>302</v>
      </c>
      <c r="H17" s="8"/>
      <c r="I17" s="8" t="n">
        <f aca="false">COUNTIF(INDEX(Matrix!$C$3:$AK$100,MATCH(D17,Matrix!$B$3:$B$100,0),0),"x")</f>
        <v>1</v>
      </c>
    </row>
    <row r="18" customFormat="false" ht="35.05" hidden="false" customHeight="false" outlineLevel="0" collapsed="false">
      <c r="A18" s="7" t="s">
        <v>303</v>
      </c>
      <c r="B18" s="8" t="s">
        <v>304</v>
      </c>
      <c r="C18" s="8" t="s">
        <v>305</v>
      </c>
      <c r="D18" s="8" t="s">
        <v>306</v>
      </c>
      <c r="E18" s="8" t="s">
        <v>206</v>
      </c>
      <c r="F18" s="8" t="s">
        <v>307</v>
      </c>
      <c r="G18" s="9" t="s">
        <v>308</v>
      </c>
      <c r="H18" s="8"/>
      <c r="I18" s="8" t="n">
        <f aca="false">COUNTIF(INDEX(Matrix!$C$3:$AK$100,MATCH(D18,Matrix!$B$3:$B$100,0),0),"x")</f>
        <v>2</v>
      </c>
    </row>
    <row r="19" customFormat="false" ht="35.05" hidden="false" customHeight="false" outlineLevel="0" collapsed="false">
      <c r="A19" s="7" t="s">
        <v>309</v>
      </c>
      <c r="B19" s="8" t="s">
        <v>310</v>
      </c>
      <c r="C19" s="8" t="s">
        <v>311</v>
      </c>
      <c r="D19" s="8" t="s">
        <v>312</v>
      </c>
      <c r="E19" s="8" t="s">
        <v>313</v>
      </c>
      <c r="F19" s="8" t="s">
        <v>314</v>
      </c>
      <c r="G19" s="9" t="s">
        <v>315</v>
      </c>
      <c r="H19" s="8"/>
      <c r="I19" s="8" t="n">
        <f aca="false">COUNTIF(INDEX(Matrix!$C$3:$AK$100,MATCH(D19,Matrix!$B$3:$B$100,0),0),"x")</f>
        <v>1</v>
      </c>
    </row>
    <row r="20" customFormat="false" ht="23.85" hidden="false" customHeight="false" outlineLevel="0" collapsed="false">
      <c r="A20" s="7" t="s">
        <v>316</v>
      </c>
      <c r="B20" s="8" t="s">
        <v>241</v>
      </c>
      <c r="C20" s="8" t="s">
        <v>317</v>
      </c>
      <c r="D20" s="8" t="s">
        <v>318</v>
      </c>
      <c r="E20" s="8" t="s">
        <v>244</v>
      </c>
      <c r="F20" s="8" t="s">
        <v>319</v>
      </c>
      <c r="G20" s="9" t="s">
        <v>320</v>
      </c>
      <c r="H20" s="8"/>
      <c r="I20" s="8" t="n">
        <f aca="false">COUNTIF(INDEX(Matrix!$C$3:$AK$100,MATCH(D20,Matrix!$B$3:$B$100,0),0),"x")</f>
        <v>1</v>
      </c>
    </row>
    <row r="21" customFormat="false" ht="35.05" hidden="false" customHeight="false" outlineLevel="0" collapsed="false">
      <c r="A21" s="7" t="s">
        <v>321</v>
      </c>
      <c r="B21" s="8" t="s">
        <v>322</v>
      </c>
      <c r="C21" s="8" t="s">
        <v>323</v>
      </c>
      <c r="D21" s="8" t="s">
        <v>324</v>
      </c>
      <c r="E21" s="8" t="s">
        <v>325</v>
      </c>
      <c r="F21" s="8" t="s">
        <v>326</v>
      </c>
      <c r="G21" s="9" t="s">
        <v>327</v>
      </c>
      <c r="H21" s="8"/>
      <c r="I21" s="8" t="n">
        <f aca="false">COUNTIF(INDEX(Matrix!$C$3:$AK$100,MATCH(D21,Matrix!$B$3:$B$100,0),0),"x")</f>
        <v>1</v>
      </c>
    </row>
    <row r="22" customFormat="false" ht="23.85" hidden="false" customHeight="false" outlineLevel="0" collapsed="false">
      <c r="A22" s="7" t="s">
        <v>328</v>
      </c>
      <c r="B22" s="8" t="s">
        <v>329</v>
      </c>
      <c r="C22" s="8" t="s">
        <v>330</v>
      </c>
      <c r="D22" s="8" t="s">
        <v>331</v>
      </c>
      <c r="E22" s="8" t="s">
        <v>281</v>
      </c>
      <c r="F22" s="8" t="s">
        <v>332</v>
      </c>
      <c r="G22" s="9" t="s">
        <v>333</v>
      </c>
      <c r="H22" s="8"/>
      <c r="I22" s="8" t="n">
        <f aca="false">COUNTIF(INDEX(Matrix!$C$3:$AK$100,MATCH(D22,Matrix!$B$3:$B$100,0),0),"x")</f>
        <v>1</v>
      </c>
    </row>
    <row r="23" customFormat="false" ht="46.25" hidden="false" customHeight="false" outlineLevel="0" collapsed="false">
      <c r="A23" s="7" t="s">
        <v>334</v>
      </c>
      <c r="B23" s="8" t="s">
        <v>335</v>
      </c>
      <c r="C23" s="8" t="s">
        <v>336</v>
      </c>
      <c r="D23" s="8" t="s">
        <v>337</v>
      </c>
      <c r="E23" s="8" t="s">
        <v>281</v>
      </c>
      <c r="F23" s="8" t="s">
        <v>338</v>
      </c>
      <c r="G23" s="9" t="s">
        <v>339</v>
      </c>
      <c r="H23" s="8"/>
      <c r="I23" s="8" t="n">
        <f aca="false">COUNTIF(INDEX(Matrix!$C$3:$AK$100,MATCH(D23,Matrix!$B$3:$B$100,0),0),"x")</f>
        <v>3</v>
      </c>
    </row>
    <row r="24" customFormat="false" ht="23.85" hidden="false" customHeight="false" outlineLevel="0" collapsed="false">
      <c r="A24" s="7" t="s">
        <v>340</v>
      </c>
      <c r="B24" s="8" t="s">
        <v>341</v>
      </c>
      <c r="C24" s="8" t="s">
        <v>342</v>
      </c>
      <c r="D24" s="8" t="s">
        <v>343</v>
      </c>
      <c r="E24" s="8" t="s">
        <v>237</v>
      </c>
      <c r="F24" s="8" t="s">
        <v>344</v>
      </c>
      <c r="G24" s="9" t="s">
        <v>345</v>
      </c>
      <c r="H24" s="8"/>
      <c r="I24" s="8" t="n">
        <f aca="false">COUNTIF(INDEX(Matrix!$C$3:$AK$100,MATCH(D24,Matrix!$B$3:$B$100,0),0),"x")</f>
        <v>1</v>
      </c>
    </row>
    <row r="25" customFormat="false" ht="35.05" hidden="false" customHeight="false" outlineLevel="0" collapsed="false">
      <c r="A25" s="7" t="s">
        <v>346</v>
      </c>
      <c r="B25" s="8" t="s">
        <v>203</v>
      </c>
      <c r="C25" s="8" t="s">
        <v>347</v>
      </c>
      <c r="D25" s="8" t="s">
        <v>348</v>
      </c>
      <c r="E25" s="8" t="s">
        <v>349</v>
      </c>
      <c r="F25" s="8" t="s">
        <v>350</v>
      </c>
      <c r="G25" s="9" t="s">
        <v>351</v>
      </c>
      <c r="H25" s="8"/>
      <c r="I25" s="8" t="n">
        <f aca="false">COUNTIF(INDEX(Matrix!$C$3:$AK$100,MATCH(D25,Matrix!$B$3:$B$100,0),0),"x")</f>
        <v>2</v>
      </c>
    </row>
    <row r="26" customFormat="false" ht="35.05" hidden="false" customHeight="false" outlineLevel="0" collapsed="false">
      <c r="A26" s="7" t="s">
        <v>352</v>
      </c>
      <c r="B26" s="8" t="s">
        <v>353</v>
      </c>
      <c r="C26" s="8" t="s">
        <v>354</v>
      </c>
      <c r="D26" s="8" t="s">
        <v>355</v>
      </c>
      <c r="E26" s="8" t="s">
        <v>356</v>
      </c>
      <c r="F26" s="8" t="s">
        <v>357</v>
      </c>
      <c r="G26" s="9" t="s">
        <v>358</v>
      </c>
      <c r="H26" s="8"/>
      <c r="I26" s="8" t="n">
        <f aca="false">COUNTIF(INDEX(Matrix!$C$3:$AK$100,MATCH(D26,Matrix!$B$3:$B$100,0),0),"x")</f>
        <v>2</v>
      </c>
    </row>
    <row r="27" customFormat="false" ht="35.05" hidden="false" customHeight="false" outlineLevel="0" collapsed="false">
      <c r="A27" s="7" t="s">
        <v>359</v>
      </c>
      <c r="B27" s="8" t="s">
        <v>360</v>
      </c>
      <c r="C27" s="8" t="s">
        <v>361</v>
      </c>
      <c r="D27" s="8" t="s">
        <v>362</v>
      </c>
      <c r="E27" s="8" t="s">
        <v>261</v>
      </c>
      <c r="F27" s="8" t="s">
        <v>363</v>
      </c>
      <c r="G27" s="9" t="s">
        <v>364</v>
      </c>
      <c r="H27" s="8"/>
      <c r="I27" s="8" t="n">
        <f aca="false">COUNTIF(INDEX(Matrix!$C$3:$AK$100,MATCH(D27,Matrix!$B$3:$B$100,0),0),"x")</f>
        <v>2</v>
      </c>
    </row>
    <row r="28" customFormat="false" ht="23.85" hidden="false" customHeight="false" outlineLevel="0" collapsed="false">
      <c r="A28" s="7" t="s">
        <v>365</v>
      </c>
      <c r="B28" s="8" t="s">
        <v>366</v>
      </c>
      <c r="C28" s="8" t="s">
        <v>367</v>
      </c>
      <c r="D28" s="8" t="s">
        <v>368</v>
      </c>
      <c r="E28" s="8" t="s">
        <v>369</v>
      </c>
      <c r="F28" s="8" t="s">
        <v>370</v>
      </c>
      <c r="G28" s="9" t="s">
        <v>371</v>
      </c>
      <c r="H28" s="8"/>
      <c r="I28" s="8" t="n">
        <f aca="false">COUNTIF(INDEX(Matrix!$C$3:$AK$100,MATCH(D28,Matrix!$B$3:$B$100,0),0),"x")</f>
        <v>2</v>
      </c>
    </row>
    <row r="29" customFormat="false" ht="23.85" hidden="false" customHeight="false" outlineLevel="0" collapsed="false">
      <c r="A29" s="7" t="s">
        <v>185</v>
      </c>
      <c r="B29" s="8" t="s">
        <v>372</v>
      </c>
      <c r="C29" s="8" t="s">
        <v>373</v>
      </c>
      <c r="D29" s="8" t="s">
        <v>374</v>
      </c>
      <c r="E29" s="8" t="s">
        <v>375</v>
      </c>
      <c r="F29" s="8" t="s">
        <v>376</v>
      </c>
      <c r="G29" s="9" t="s">
        <v>377</v>
      </c>
      <c r="H29" s="8"/>
      <c r="I29" s="8" t="n">
        <f aca="false">COUNTIF(INDEX(Matrix!$C$3:$AK$100,MATCH(D29,Matrix!$B$3:$B$100,0),0),"x")</f>
        <v>1</v>
      </c>
    </row>
    <row r="30" customFormat="false" ht="35.05" hidden="false" customHeight="false" outlineLevel="0" collapsed="false">
      <c r="A30" s="7" t="s">
        <v>378</v>
      </c>
      <c r="B30" s="8" t="s">
        <v>379</v>
      </c>
      <c r="C30" s="8" t="s">
        <v>380</v>
      </c>
      <c r="D30" s="8" t="s">
        <v>381</v>
      </c>
      <c r="E30" s="8" t="s">
        <v>382</v>
      </c>
      <c r="F30" s="8" t="s">
        <v>383</v>
      </c>
      <c r="G30" s="9" t="s">
        <v>384</v>
      </c>
      <c r="H30" s="8"/>
      <c r="I30" s="8" t="n">
        <f aca="false">COUNTIF(INDEX(Matrix!$C$3:$AK$100,MATCH(D30,Matrix!$B$3:$B$100,0),0),"x")</f>
        <v>2</v>
      </c>
    </row>
    <row r="31" customFormat="false" ht="35.05" hidden="false" customHeight="false" outlineLevel="0" collapsed="false">
      <c r="A31" s="7" t="s">
        <v>385</v>
      </c>
      <c r="B31" s="8" t="s">
        <v>386</v>
      </c>
      <c r="C31" s="8" t="s">
        <v>387</v>
      </c>
      <c r="D31" s="8" t="s">
        <v>388</v>
      </c>
      <c r="E31" s="8" t="s">
        <v>389</v>
      </c>
      <c r="F31" s="8" t="s">
        <v>390</v>
      </c>
      <c r="G31" s="9" t="s">
        <v>391</v>
      </c>
      <c r="H31" s="8"/>
      <c r="I31" s="8" t="n">
        <f aca="false">COUNTIF(INDEX(Matrix!$C$3:$AK$100,MATCH(D31,Matrix!$B$3:$B$100,0),0),"x")</f>
        <v>2</v>
      </c>
    </row>
    <row r="32" customFormat="false" ht="35.05" hidden="false" customHeight="false" outlineLevel="0" collapsed="false">
      <c r="A32" s="7" t="s">
        <v>392</v>
      </c>
      <c r="B32" s="8" t="s">
        <v>222</v>
      </c>
      <c r="C32" s="8" t="s">
        <v>393</v>
      </c>
      <c r="D32" s="8" t="s">
        <v>394</v>
      </c>
      <c r="E32" s="8" t="s">
        <v>395</v>
      </c>
      <c r="F32" s="8" t="s">
        <v>396</v>
      </c>
      <c r="G32" s="9" t="s">
        <v>397</v>
      </c>
      <c r="H32" s="8"/>
      <c r="I32" s="8" t="n">
        <f aca="false">COUNTIF(INDEX(Matrix!$C$3:$AK$100,MATCH(D32,Matrix!$B$3:$B$100,0),0),"x")</f>
        <v>2</v>
      </c>
    </row>
    <row r="33" customFormat="false" ht="23.85" hidden="false" customHeight="false" outlineLevel="0" collapsed="false">
      <c r="A33" s="7" t="s">
        <v>398</v>
      </c>
      <c r="B33" s="8" t="s">
        <v>399</v>
      </c>
      <c r="C33" s="8" t="s">
        <v>400</v>
      </c>
      <c r="D33" s="8" t="s">
        <v>401</v>
      </c>
      <c r="E33" s="8" t="s">
        <v>281</v>
      </c>
      <c r="F33" s="8" t="s">
        <v>402</v>
      </c>
      <c r="G33" s="9" t="s">
        <v>403</v>
      </c>
      <c r="H33" s="8"/>
      <c r="I33" s="8" t="n">
        <f aca="false">COUNTIF(INDEX(Matrix!$C$3:$AK$100,MATCH(D33,Matrix!$B$3:$B$100,0),0),"x")</f>
        <v>1</v>
      </c>
    </row>
    <row r="34" customFormat="false" ht="35.05" hidden="false" customHeight="false" outlineLevel="0" collapsed="false">
      <c r="A34" s="7" t="s">
        <v>404</v>
      </c>
      <c r="B34" s="8" t="s">
        <v>405</v>
      </c>
      <c r="C34" s="8" t="s">
        <v>406</v>
      </c>
      <c r="D34" s="8" t="s">
        <v>407</v>
      </c>
      <c r="E34" s="8" t="s">
        <v>408</v>
      </c>
      <c r="F34" s="8" t="s">
        <v>409</v>
      </c>
      <c r="G34" s="9" t="s">
        <v>410</v>
      </c>
      <c r="H34" s="8"/>
      <c r="I34" s="8" t="n">
        <f aca="false">COUNTIF(INDEX(Matrix!$C$3:$AK$100,MATCH(D34,Matrix!$B$3:$B$100,0),0),"x")</f>
        <v>1</v>
      </c>
    </row>
    <row r="35" customFormat="false" ht="23.85" hidden="false" customHeight="false" outlineLevel="0" collapsed="false">
      <c r="A35" s="7" t="s">
        <v>411</v>
      </c>
      <c r="B35" s="8" t="s">
        <v>285</v>
      </c>
      <c r="C35" s="8" t="s">
        <v>412</v>
      </c>
      <c r="D35" s="8" t="s">
        <v>413</v>
      </c>
      <c r="E35" s="8" t="s">
        <v>237</v>
      </c>
      <c r="F35" s="8" t="s">
        <v>414</v>
      </c>
      <c r="G35" s="9" t="s">
        <v>415</v>
      </c>
      <c r="H35" s="8"/>
      <c r="I35" s="8" t="n">
        <f aca="false">COUNTIF(INDEX(Matrix!$C$3:$AK$100,MATCH(D35,Matrix!$B$3:$B$100,0),0),"x")</f>
        <v>1</v>
      </c>
    </row>
    <row r="36" customFormat="false" ht="35.05" hidden="false" customHeight="false" outlineLevel="0" collapsed="false">
      <c r="A36" s="7" t="s">
        <v>416</v>
      </c>
      <c r="B36" s="8" t="s">
        <v>417</v>
      </c>
      <c r="C36" s="8" t="s">
        <v>418</v>
      </c>
      <c r="D36" s="8" t="s">
        <v>419</v>
      </c>
      <c r="E36" s="8" t="s">
        <v>281</v>
      </c>
      <c r="F36" s="8" t="s">
        <v>420</v>
      </c>
      <c r="G36" s="9" t="s">
        <v>421</v>
      </c>
      <c r="H36" s="8"/>
      <c r="I36" s="8" t="n">
        <f aca="false">COUNTIF(INDEX(Matrix!$C$3:$AK$100,MATCH(D36,Matrix!$B$3:$B$100,0),0),"x")</f>
        <v>2</v>
      </c>
    </row>
    <row r="37" customFormat="false" ht="46.25" hidden="false" customHeight="false" outlineLevel="0" collapsed="false">
      <c r="A37" s="7" t="s">
        <v>422</v>
      </c>
      <c r="B37" s="8" t="s">
        <v>423</v>
      </c>
      <c r="C37" s="8" t="s">
        <v>424</v>
      </c>
      <c r="D37" s="8" t="s">
        <v>425</v>
      </c>
      <c r="E37" s="8" t="s">
        <v>281</v>
      </c>
      <c r="F37" s="8" t="s">
        <v>426</v>
      </c>
      <c r="G37" s="9" t="s">
        <v>427</v>
      </c>
      <c r="H37" s="8"/>
      <c r="I37" s="8" t="n">
        <f aca="false">COUNTIF(INDEX(Matrix!$C$3:$AK$100,MATCH(D37,Matrix!$B$3:$B$100,0),0),"x")</f>
        <v>3</v>
      </c>
    </row>
    <row r="38" customFormat="false" ht="23.85" hidden="false" customHeight="false" outlineLevel="0" collapsed="false">
      <c r="A38" s="7" t="s">
        <v>428</v>
      </c>
      <c r="B38" s="8" t="s">
        <v>429</v>
      </c>
      <c r="C38" s="8" t="s">
        <v>430</v>
      </c>
      <c r="D38" s="8" t="s">
        <v>431</v>
      </c>
      <c r="E38" s="8" t="s">
        <v>432</v>
      </c>
      <c r="F38" s="8" t="s">
        <v>433</v>
      </c>
      <c r="G38" s="9" t="s">
        <v>434</v>
      </c>
      <c r="H38" s="8"/>
      <c r="I38" s="8" t="n">
        <f aca="false">COUNTIF(INDEX(Matrix!$C$3:$AK$100,MATCH(D38,Matrix!$B$3:$B$100,0),0),"x")</f>
        <v>2</v>
      </c>
    </row>
    <row r="39" customFormat="false" ht="23.85" hidden="false" customHeight="false" outlineLevel="0" collapsed="false">
      <c r="A39" s="7" t="s">
        <v>435</v>
      </c>
      <c r="B39" s="8" t="s">
        <v>329</v>
      </c>
      <c r="C39" s="8" t="s">
        <v>436</v>
      </c>
      <c r="D39" s="8" t="s">
        <v>437</v>
      </c>
      <c r="E39" s="8" t="s">
        <v>281</v>
      </c>
      <c r="F39" s="8" t="s">
        <v>438</v>
      </c>
      <c r="G39" s="9" t="s">
        <v>439</v>
      </c>
      <c r="H39" s="8"/>
      <c r="I39" s="8" t="n">
        <f aca="false">COUNTIF(INDEX(Matrix!$C$3:$AK$100,MATCH(D39,Matrix!$B$3:$B$100,0),0),"x")</f>
        <v>1</v>
      </c>
    </row>
    <row r="40" customFormat="false" ht="35.05" hidden="false" customHeight="false" outlineLevel="0" collapsed="false">
      <c r="A40" s="7" t="s">
        <v>440</v>
      </c>
      <c r="B40" s="8" t="s">
        <v>441</v>
      </c>
      <c r="C40" s="8" t="s">
        <v>442</v>
      </c>
      <c r="D40" s="8" t="s">
        <v>443</v>
      </c>
      <c r="E40" s="8" t="s">
        <v>237</v>
      </c>
      <c r="F40" s="8" t="s">
        <v>444</v>
      </c>
      <c r="G40" s="9" t="s">
        <v>445</v>
      </c>
      <c r="H40" s="8"/>
      <c r="I40" s="8" t="n">
        <f aca="false">COUNTIF(INDEX(Matrix!$C$3:$AK$100,MATCH(D40,Matrix!$B$3:$B$100,0),0),"x")</f>
        <v>2</v>
      </c>
    </row>
    <row r="41" customFormat="false" ht="23.85" hidden="false" customHeight="false" outlineLevel="0" collapsed="false">
      <c r="A41" s="7" t="s">
        <v>446</v>
      </c>
      <c r="B41" s="8" t="s">
        <v>441</v>
      </c>
      <c r="C41" s="8" t="s">
        <v>447</v>
      </c>
      <c r="D41" s="8" t="s">
        <v>448</v>
      </c>
      <c r="E41" s="8" t="s">
        <v>237</v>
      </c>
      <c r="F41" s="8" t="s">
        <v>449</v>
      </c>
      <c r="G41" s="9" t="s">
        <v>450</v>
      </c>
      <c r="H41" s="8"/>
      <c r="I41" s="8" t="n">
        <f aca="false">COUNTIF(INDEX(Matrix!$C$3:$AK$100,MATCH(D41,Matrix!$B$3:$B$100,0),0),"x")</f>
        <v>2</v>
      </c>
    </row>
    <row r="42" customFormat="false" ht="23.85" hidden="false" customHeight="false" outlineLevel="0" collapsed="false">
      <c r="A42" s="7" t="s">
        <v>451</v>
      </c>
      <c r="B42" s="8" t="s">
        <v>298</v>
      </c>
      <c r="C42" s="8" t="s">
        <v>452</v>
      </c>
      <c r="D42" s="8" t="s">
        <v>453</v>
      </c>
      <c r="E42" s="8" t="s">
        <v>349</v>
      </c>
      <c r="F42" s="8" t="s">
        <v>454</v>
      </c>
      <c r="G42" s="9" t="s">
        <v>455</v>
      </c>
      <c r="H42" s="8"/>
      <c r="I42" s="8" t="n">
        <f aca="false">COUNTIF(INDEX(Matrix!$C$3:$AK$100,MATCH(D42,Matrix!$B$3:$B$100,0),0),"x")</f>
        <v>1</v>
      </c>
    </row>
    <row r="43" customFormat="false" ht="35.05" hidden="false" customHeight="false" outlineLevel="0" collapsed="false">
      <c r="A43" s="7" t="s">
        <v>456</v>
      </c>
      <c r="B43" s="8" t="s">
        <v>457</v>
      </c>
      <c r="C43" s="8" t="s">
        <v>458</v>
      </c>
      <c r="D43" s="8" t="s">
        <v>459</v>
      </c>
      <c r="E43" s="8" t="s">
        <v>206</v>
      </c>
      <c r="F43" s="8" t="s">
        <v>460</v>
      </c>
      <c r="G43" s="9" t="s">
        <v>461</v>
      </c>
      <c r="H43" s="8"/>
      <c r="I43" s="8" t="n">
        <f aca="false">COUNTIF(INDEX(Matrix!$C$3:$AK$100,MATCH(D43,Matrix!$B$3:$B$100,0),0),"x")</f>
        <v>2</v>
      </c>
    </row>
    <row r="44" customFormat="false" ht="46.25" hidden="false" customHeight="false" outlineLevel="0" collapsed="false">
      <c r="A44" s="7" t="s">
        <v>462</v>
      </c>
      <c r="B44" s="8" t="s">
        <v>463</v>
      </c>
      <c r="C44" s="8" t="s">
        <v>464</v>
      </c>
      <c r="D44" s="8" t="s">
        <v>465</v>
      </c>
      <c r="E44" s="8" t="s">
        <v>261</v>
      </c>
      <c r="F44" s="8" t="s">
        <v>466</v>
      </c>
      <c r="G44" s="9" t="s">
        <v>467</v>
      </c>
      <c r="H44" s="8"/>
      <c r="I44" s="8" t="n">
        <f aca="false">COUNTIF(INDEX(Matrix!$C$3:$AK$100,MATCH(D44,Matrix!$B$3:$B$100,0),0),"x")</f>
        <v>2</v>
      </c>
    </row>
    <row r="45" customFormat="false" ht="23.85" hidden="false" customHeight="false" outlineLevel="0" collapsed="false">
      <c r="A45" s="7" t="s">
        <v>468</v>
      </c>
      <c r="B45" s="8" t="s">
        <v>469</v>
      </c>
      <c r="C45" s="8" t="s">
        <v>470</v>
      </c>
      <c r="D45" s="8" t="s">
        <v>471</v>
      </c>
      <c r="E45" s="8" t="s">
        <v>472</v>
      </c>
      <c r="F45" s="8" t="s">
        <v>473</v>
      </c>
      <c r="G45" s="9" t="s">
        <v>474</v>
      </c>
      <c r="H45" s="8"/>
      <c r="I45" s="8" t="n">
        <f aca="false">COUNTIF(INDEX(Matrix!$C$3:$AK$100,MATCH(D45,Matrix!$B$3:$B$100,0),0),"x")</f>
        <v>2</v>
      </c>
    </row>
    <row r="46" customFormat="false" ht="35.05" hidden="false" customHeight="false" outlineLevel="0" collapsed="false">
      <c r="A46" s="7" t="s">
        <v>475</v>
      </c>
      <c r="B46" s="8" t="s">
        <v>476</v>
      </c>
      <c r="C46" s="8" t="s">
        <v>477</v>
      </c>
      <c r="D46" s="8" t="s">
        <v>478</v>
      </c>
      <c r="E46" s="8" t="s">
        <v>206</v>
      </c>
      <c r="F46" s="8" t="s">
        <v>479</v>
      </c>
      <c r="G46" s="9" t="s">
        <v>480</v>
      </c>
      <c r="H46" s="8"/>
      <c r="I46" s="8" t="n">
        <f aca="false">COUNTIF(INDEX(Matrix!$C$3:$AK$100,MATCH(D46,Matrix!$B$3:$B$100,0),0),"x")</f>
        <v>2</v>
      </c>
    </row>
    <row r="47" customFormat="false" ht="35.05" hidden="false" customHeight="false" outlineLevel="0" collapsed="false">
      <c r="A47" s="7" t="s">
        <v>481</v>
      </c>
      <c r="B47" s="8" t="s">
        <v>482</v>
      </c>
      <c r="C47" s="8" t="s">
        <v>483</v>
      </c>
      <c r="D47" s="8" t="s">
        <v>484</v>
      </c>
      <c r="E47" s="8" t="s">
        <v>485</v>
      </c>
      <c r="F47" s="8" t="s">
        <v>486</v>
      </c>
      <c r="G47" s="9" t="s">
        <v>487</v>
      </c>
      <c r="H47" s="8"/>
      <c r="I47" s="8" t="n">
        <f aca="false">COUNTIF(INDEX(Matrix!$C$3:$AK$100,MATCH(D47,Matrix!$B$3:$B$100,0),0),"x")</f>
        <v>2</v>
      </c>
    </row>
    <row r="48" customFormat="false" ht="35.05" hidden="false" customHeight="false" outlineLevel="0" collapsed="false">
      <c r="A48" s="7" t="s">
        <v>488</v>
      </c>
      <c r="B48" s="8" t="s">
        <v>489</v>
      </c>
      <c r="C48" s="8" t="s">
        <v>490</v>
      </c>
      <c r="D48" s="8" t="s">
        <v>491</v>
      </c>
      <c r="E48" s="8" t="s">
        <v>369</v>
      </c>
      <c r="F48" s="8" t="s">
        <v>492</v>
      </c>
      <c r="G48" s="9" t="s">
        <v>493</v>
      </c>
      <c r="H48" s="8"/>
      <c r="I48" s="8" t="n">
        <f aca="false">COUNTIF(INDEX(Matrix!$C$3:$AK$100,MATCH(D48,Matrix!$B$3:$B$100,0),0),"x")</f>
        <v>1</v>
      </c>
    </row>
    <row r="49" customFormat="false" ht="23.85" hidden="false" customHeight="false" outlineLevel="0" collapsed="false">
      <c r="A49" s="7" t="s">
        <v>494</v>
      </c>
      <c r="B49" s="8" t="s">
        <v>495</v>
      </c>
      <c r="C49" s="8" t="s">
        <v>496</v>
      </c>
      <c r="D49" s="8" t="s">
        <v>497</v>
      </c>
      <c r="E49" s="8" t="s">
        <v>237</v>
      </c>
      <c r="F49" s="8" t="s">
        <v>498</v>
      </c>
      <c r="G49" s="9" t="s">
        <v>499</v>
      </c>
      <c r="H49" s="8"/>
      <c r="I49" s="8" t="n">
        <f aca="false">COUNTIF(INDEX(Matrix!$C$3:$AK$100,MATCH(D49,Matrix!$B$3:$B$100,0),0),"x")</f>
        <v>1</v>
      </c>
    </row>
    <row r="50" customFormat="false" ht="35.05" hidden="false" customHeight="false" outlineLevel="0" collapsed="false">
      <c r="A50" s="7" t="s">
        <v>500</v>
      </c>
      <c r="B50" s="8" t="s">
        <v>501</v>
      </c>
      <c r="C50" s="8" t="s">
        <v>502</v>
      </c>
      <c r="D50" s="8" t="s">
        <v>503</v>
      </c>
      <c r="E50" s="8" t="s">
        <v>206</v>
      </c>
      <c r="F50" s="8" t="s">
        <v>504</v>
      </c>
      <c r="G50" s="9" t="s">
        <v>505</v>
      </c>
      <c r="H50" s="8"/>
      <c r="I50" s="8" t="n">
        <f aca="false">COUNTIF(INDEX(Matrix!$C$3:$AK$100,MATCH(D50,Matrix!$B$3:$B$100,0),0),"x")</f>
        <v>1</v>
      </c>
    </row>
    <row r="51" customFormat="false" ht="46.25" hidden="false" customHeight="false" outlineLevel="0" collapsed="false">
      <c r="A51" s="7" t="s">
        <v>506</v>
      </c>
      <c r="B51" s="8" t="s">
        <v>507</v>
      </c>
      <c r="C51" s="8" t="s">
        <v>508</v>
      </c>
      <c r="D51" s="8" t="s">
        <v>509</v>
      </c>
      <c r="E51" s="8" t="s">
        <v>510</v>
      </c>
      <c r="F51" s="8" t="s">
        <v>511</v>
      </c>
      <c r="G51" s="9" t="s">
        <v>512</v>
      </c>
      <c r="H51" s="8"/>
      <c r="I51" s="8" t="n">
        <f aca="false">COUNTIF(INDEX(Matrix!$C$3:$AK$100,MATCH(D51,Matrix!$B$3:$B$100,0),0),"x")</f>
        <v>3</v>
      </c>
    </row>
    <row r="52" customFormat="false" ht="23.85" hidden="false" customHeight="false" outlineLevel="0" collapsed="false">
      <c r="A52" s="7" t="s">
        <v>513</v>
      </c>
      <c r="B52" s="8" t="s">
        <v>514</v>
      </c>
      <c r="C52" s="8" t="s">
        <v>515</v>
      </c>
      <c r="D52" s="8" t="s">
        <v>516</v>
      </c>
      <c r="E52" s="8" t="s">
        <v>281</v>
      </c>
      <c r="F52" s="8" t="s">
        <v>517</v>
      </c>
      <c r="G52" s="9" t="s">
        <v>518</v>
      </c>
      <c r="H52" s="8"/>
      <c r="I52" s="8" t="n">
        <f aca="false">COUNTIF(INDEX(Matrix!$C$3:$AK$100,MATCH(D52,Matrix!$B$3:$B$100,0),0),"x")</f>
        <v>1</v>
      </c>
    </row>
    <row r="53" customFormat="false" ht="35.05" hidden="false" customHeight="false" outlineLevel="0" collapsed="false">
      <c r="A53" s="7" t="s">
        <v>519</v>
      </c>
      <c r="B53" s="8" t="s">
        <v>322</v>
      </c>
      <c r="C53" s="8" t="s">
        <v>520</v>
      </c>
      <c r="D53" s="8" t="s">
        <v>521</v>
      </c>
      <c r="E53" s="8" t="s">
        <v>206</v>
      </c>
      <c r="F53" s="8" t="s">
        <v>522</v>
      </c>
      <c r="G53" s="9" t="s">
        <v>523</v>
      </c>
      <c r="H53" s="8"/>
      <c r="I53" s="8" t="n">
        <f aca="false">COUNTIF(INDEX(Matrix!$C$3:$AK$100,MATCH(D53,Matrix!$B$3:$B$100,0),0),"x")</f>
        <v>1</v>
      </c>
    </row>
    <row r="54" customFormat="false" ht="35.05" hidden="false" customHeight="false" outlineLevel="0" collapsed="false">
      <c r="A54" s="7" t="s">
        <v>524</v>
      </c>
      <c r="B54" s="8" t="s">
        <v>525</v>
      </c>
      <c r="C54" s="8" t="s">
        <v>526</v>
      </c>
      <c r="D54" s="8" t="s">
        <v>527</v>
      </c>
      <c r="E54" s="8" t="s">
        <v>528</v>
      </c>
      <c r="F54" s="8" t="s">
        <v>529</v>
      </c>
      <c r="G54" s="9" t="s">
        <v>530</v>
      </c>
      <c r="H54" s="8"/>
      <c r="I54" s="8" t="n">
        <f aca="false">COUNTIF(INDEX(Matrix!$C$3:$AK$100,MATCH(D54,Matrix!$B$3:$B$100,0),0),"x")</f>
        <v>1</v>
      </c>
    </row>
    <row r="55" customFormat="false" ht="46.25" hidden="false" customHeight="false" outlineLevel="0" collapsed="false">
      <c r="A55" s="7" t="s">
        <v>531</v>
      </c>
      <c r="B55" s="8" t="s">
        <v>532</v>
      </c>
      <c r="C55" s="8" t="s">
        <v>533</v>
      </c>
      <c r="D55" s="8" t="s">
        <v>534</v>
      </c>
      <c r="E55" s="8" t="s">
        <v>206</v>
      </c>
      <c r="F55" s="8" t="s">
        <v>535</v>
      </c>
      <c r="G55" s="9" t="s">
        <v>536</v>
      </c>
      <c r="H55" s="8"/>
      <c r="I55" s="8" t="n">
        <f aca="false">COUNTIF(INDEX(Matrix!$C$3:$AK$100,MATCH(D55,Matrix!$B$3:$B$100,0),0),"x")</f>
        <v>3</v>
      </c>
    </row>
    <row r="56" customFormat="false" ht="23.85" hidden="false" customHeight="false" outlineLevel="0" collapsed="false">
      <c r="A56" s="7" t="s">
        <v>190</v>
      </c>
      <c r="B56" s="8" t="s">
        <v>537</v>
      </c>
      <c r="C56" s="8" t="s">
        <v>538</v>
      </c>
      <c r="D56" s="8" t="s">
        <v>539</v>
      </c>
      <c r="E56" s="8" t="s">
        <v>206</v>
      </c>
      <c r="F56" s="8" t="s">
        <v>540</v>
      </c>
      <c r="G56" s="9" t="s">
        <v>541</v>
      </c>
      <c r="H56" s="8"/>
      <c r="I56" s="8" t="n">
        <f aca="false">COUNTIF(INDEX(Matrix!$C$3:$AK$100,MATCH(D56,Matrix!$B$3:$B$100,0),0),"x")</f>
        <v>1</v>
      </c>
    </row>
    <row r="57" customFormat="false" ht="23.85" hidden="false" customHeight="false" outlineLevel="0" collapsed="false">
      <c r="A57" s="7" t="s">
        <v>542</v>
      </c>
      <c r="B57" s="8" t="s">
        <v>399</v>
      </c>
      <c r="C57" s="8" t="s">
        <v>543</v>
      </c>
      <c r="D57" s="8" t="s">
        <v>544</v>
      </c>
      <c r="E57" s="8" t="s">
        <v>281</v>
      </c>
      <c r="F57" s="8" t="s">
        <v>545</v>
      </c>
      <c r="G57" s="9" t="s">
        <v>546</v>
      </c>
      <c r="H57" s="8"/>
      <c r="I57" s="8" t="n">
        <f aca="false">COUNTIF(INDEX(Matrix!$C$3:$AK$100,MATCH(D57,Matrix!$B$3:$B$100,0),0),"x")</f>
        <v>1</v>
      </c>
    </row>
    <row r="58" customFormat="false" ht="35.05" hidden="false" customHeight="false" outlineLevel="0" collapsed="false">
      <c r="A58" s="7" t="s">
        <v>547</v>
      </c>
      <c r="B58" s="8" t="s">
        <v>548</v>
      </c>
      <c r="C58" s="8" t="s">
        <v>549</v>
      </c>
      <c r="D58" s="8" t="s">
        <v>550</v>
      </c>
      <c r="E58" s="8" t="s">
        <v>206</v>
      </c>
      <c r="F58" s="8" t="s">
        <v>551</v>
      </c>
      <c r="G58" s="9" t="s">
        <v>552</v>
      </c>
      <c r="H58" s="8"/>
      <c r="I58" s="8" t="n">
        <f aca="false">COUNTIF(INDEX(Matrix!$C$3:$AK$100,MATCH(D58,Matrix!$B$3:$B$100,0),0),"x")</f>
        <v>2</v>
      </c>
    </row>
    <row r="59" customFormat="false" ht="35.05" hidden="false" customHeight="false" outlineLevel="0" collapsed="false">
      <c r="A59" s="7" t="s">
        <v>151</v>
      </c>
      <c r="B59" s="8" t="s">
        <v>553</v>
      </c>
      <c r="C59" s="8" t="s">
        <v>554</v>
      </c>
      <c r="D59" s="8" t="s">
        <v>555</v>
      </c>
      <c r="E59" s="8" t="s">
        <v>237</v>
      </c>
      <c r="F59" s="8" t="s">
        <v>556</v>
      </c>
      <c r="G59" s="9" t="s">
        <v>557</v>
      </c>
      <c r="H59" s="8"/>
      <c r="I59" s="8" t="n">
        <f aca="false">COUNTIF(INDEX(Matrix!$C$3:$AK$100,MATCH(D59,Matrix!$B$3:$B$100,0),0),"x")</f>
        <v>2</v>
      </c>
    </row>
    <row r="60" customFormat="false" ht="57.45" hidden="false" customHeight="false" outlineLevel="0" collapsed="false">
      <c r="A60" s="7" t="s">
        <v>558</v>
      </c>
      <c r="B60" s="8" t="s">
        <v>559</v>
      </c>
      <c r="C60" s="8" t="s">
        <v>560</v>
      </c>
      <c r="D60" s="8" t="s">
        <v>561</v>
      </c>
      <c r="E60" s="8" t="s">
        <v>349</v>
      </c>
      <c r="F60" s="8" t="s">
        <v>562</v>
      </c>
      <c r="G60" s="9" t="s">
        <v>563</v>
      </c>
      <c r="H60" s="8"/>
      <c r="I60" s="8" t="n">
        <f aca="false">COUNTIF(INDEX(Matrix!$C$3:$AK$100,MATCH(D60,Matrix!$B$3:$B$100,0),0),"x")</f>
        <v>1</v>
      </c>
    </row>
    <row r="61" customFormat="false" ht="23.85" hidden="false" customHeight="false" outlineLevel="0" collapsed="false">
      <c r="A61" s="7" t="s">
        <v>564</v>
      </c>
      <c r="B61" s="8" t="s">
        <v>565</v>
      </c>
      <c r="C61" s="8" t="s">
        <v>566</v>
      </c>
      <c r="D61" s="8" t="s">
        <v>567</v>
      </c>
      <c r="E61" s="8" t="s">
        <v>281</v>
      </c>
      <c r="F61" s="8" t="s">
        <v>568</v>
      </c>
      <c r="G61" s="9" t="s">
        <v>569</v>
      </c>
      <c r="H61" s="8"/>
      <c r="I61" s="8" t="n">
        <f aca="false">COUNTIF(INDEX(Matrix!$C$3:$AK$100,MATCH(D61,Matrix!$B$3:$B$100,0),0),"x")</f>
        <v>2</v>
      </c>
    </row>
    <row r="62" customFormat="false" ht="35.05" hidden="false" customHeight="false" outlineLevel="0" collapsed="false">
      <c r="A62" s="7" t="s">
        <v>570</v>
      </c>
      <c r="B62" s="8" t="s">
        <v>203</v>
      </c>
      <c r="C62" s="8" t="s">
        <v>571</v>
      </c>
      <c r="D62" s="8" t="s">
        <v>572</v>
      </c>
      <c r="E62" s="8" t="s">
        <v>206</v>
      </c>
      <c r="F62" s="8" t="s">
        <v>573</v>
      </c>
      <c r="G62" s="9" t="s">
        <v>574</v>
      </c>
      <c r="H62" s="8"/>
      <c r="I62" s="8" t="n">
        <f aca="false">COUNTIF(INDEX(Matrix!$C$3:$AK$100,MATCH(D62,Matrix!$B$3:$B$100,0),0),"x")</f>
        <v>2</v>
      </c>
    </row>
    <row r="63" customFormat="false" ht="23.85" hidden="false" customHeight="false" outlineLevel="0" collapsed="false">
      <c r="A63" s="7" t="s">
        <v>575</v>
      </c>
      <c r="B63" s="8" t="s">
        <v>241</v>
      </c>
      <c r="C63" s="8" t="s">
        <v>576</v>
      </c>
      <c r="D63" s="8" t="s">
        <v>577</v>
      </c>
      <c r="E63" s="8" t="s">
        <v>281</v>
      </c>
      <c r="F63" s="8" t="s">
        <v>578</v>
      </c>
      <c r="G63" s="9" t="s">
        <v>579</v>
      </c>
      <c r="H63" s="8"/>
      <c r="I63" s="8" t="n">
        <f aca="false">COUNTIF(INDEX(Matrix!$C$3:$AK$100,MATCH(D63,Matrix!$B$3:$B$100,0),0),"x")</f>
        <v>1</v>
      </c>
    </row>
    <row r="64" customFormat="false" ht="46.25" hidden="false" customHeight="false" outlineLevel="0" collapsed="false">
      <c r="A64" s="7" t="s">
        <v>580</v>
      </c>
      <c r="B64" s="8" t="s">
        <v>581</v>
      </c>
      <c r="C64" s="8" t="s">
        <v>582</v>
      </c>
      <c r="D64" s="8" t="s">
        <v>583</v>
      </c>
      <c r="E64" s="8" t="s">
        <v>281</v>
      </c>
      <c r="F64" s="8" t="s">
        <v>584</v>
      </c>
      <c r="G64" s="9" t="s">
        <v>585</v>
      </c>
      <c r="H64" s="8"/>
      <c r="I64" s="8" t="n">
        <f aca="false">COUNTIF(INDEX(Matrix!$C$3:$AK$100,MATCH(D64,Matrix!$B$3:$B$100,0),0),"x")</f>
        <v>3</v>
      </c>
    </row>
    <row r="65" customFormat="false" ht="35.05" hidden="false" customHeight="false" outlineLevel="0" collapsed="false">
      <c r="A65" s="7" t="s">
        <v>586</v>
      </c>
      <c r="B65" s="8" t="s">
        <v>253</v>
      </c>
      <c r="C65" s="8" t="s">
        <v>587</v>
      </c>
      <c r="D65" s="8" t="s">
        <v>588</v>
      </c>
      <c r="E65" s="8" t="s">
        <v>206</v>
      </c>
      <c r="F65" s="8" t="s">
        <v>589</v>
      </c>
      <c r="G65" s="9" t="s">
        <v>590</v>
      </c>
      <c r="H65" s="8"/>
      <c r="I65" s="8" t="n">
        <f aca="false">COUNTIF(INDEX(Matrix!$C$3:$AK$100,MATCH(D65,Matrix!$B$3:$B$100,0),0),"x")</f>
        <v>1</v>
      </c>
    </row>
    <row r="66" customFormat="false" ht="35.05" hidden="false" customHeight="false" outlineLevel="0" collapsed="false">
      <c r="A66" s="7" t="s">
        <v>591</v>
      </c>
      <c r="B66" s="8" t="s">
        <v>592</v>
      </c>
      <c r="C66" s="8" t="s">
        <v>593</v>
      </c>
      <c r="D66" s="8" t="s">
        <v>594</v>
      </c>
      <c r="E66" s="8" t="s">
        <v>595</v>
      </c>
      <c r="F66" s="8" t="s">
        <v>596</v>
      </c>
      <c r="G66" s="9" t="s">
        <v>597</v>
      </c>
      <c r="H66" s="8"/>
      <c r="I66" s="8" t="n">
        <f aca="false">COUNTIF(INDEX(Matrix!$C$3:$AK$100,MATCH(D66,Matrix!$B$3:$B$100,0),0),"x")</f>
        <v>1</v>
      </c>
    </row>
    <row r="67" customFormat="false" ht="23.85" hidden="false" customHeight="false" outlineLevel="0" collapsed="false">
      <c r="A67" s="7" t="s">
        <v>598</v>
      </c>
      <c r="B67" s="8" t="s">
        <v>592</v>
      </c>
      <c r="C67" s="8" t="s">
        <v>599</v>
      </c>
      <c r="D67" s="8" t="s">
        <v>600</v>
      </c>
      <c r="E67" s="8" t="s">
        <v>601</v>
      </c>
      <c r="F67" s="8" t="s">
        <v>602</v>
      </c>
      <c r="G67" s="9" t="s">
        <v>603</v>
      </c>
      <c r="H67" s="8"/>
      <c r="I67" s="8" t="n">
        <f aca="false">COUNTIF(INDEX(Matrix!$C$3:$AK$100,MATCH(D67,Matrix!$B$3:$B$100,0),0),"x")</f>
        <v>1</v>
      </c>
    </row>
    <row r="68" customFormat="false" ht="35.05" hidden="false" customHeight="false" outlineLevel="0" collapsed="false">
      <c r="A68" s="7" t="s">
        <v>604</v>
      </c>
      <c r="B68" s="8" t="s">
        <v>605</v>
      </c>
      <c r="C68" s="8" t="s">
        <v>606</v>
      </c>
      <c r="D68" s="8" t="s">
        <v>607</v>
      </c>
      <c r="E68" s="8" t="s">
        <v>237</v>
      </c>
      <c r="F68" s="8" t="s">
        <v>608</v>
      </c>
      <c r="G68" s="9" t="s">
        <v>609</v>
      </c>
      <c r="H68" s="8"/>
      <c r="I68" s="8" t="n">
        <f aca="false">COUNTIF(INDEX(Matrix!$C$3:$AK$100,MATCH(D68,Matrix!$B$3:$B$100,0),0),"x")</f>
        <v>1</v>
      </c>
    </row>
    <row r="69" customFormat="false" ht="35.05" hidden="false" customHeight="false" outlineLevel="0" collapsed="false">
      <c r="A69" s="7" t="s">
        <v>610</v>
      </c>
      <c r="B69" s="8" t="s">
        <v>611</v>
      </c>
      <c r="C69" s="8" t="s">
        <v>612</v>
      </c>
      <c r="D69" s="8" t="s">
        <v>613</v>
      </c>
      <c r="E69" s="8" t="s">
        <v>614</v>
      </c>
      <c r="F69" s="8" t="s">
        <v>615</v>
      </c>
      <c r="G69" s="9" t="s">
        <v>616</v>
      </c>
      <c r="H69" s="8"/>
      <c r="I69" s="8" t="n">
        <f aca="false">COUNTIF(INDEX(Matrix!$C$3:$AK$100,MATCH(D69,Matrix!$B$3:$B$100,0),0),"x")</f>
        <v>2</v>
      </c>
    </row>
    <row r="70" customFormat="false" ht="23.85" hidden="false" customHeight="false" outlineLevel="0" collapsed="false">
      <c r="A70" s="7" t="s">
        <v>617</v>
      </c>
      <c r="B70" s="8" t="s">
        <v>618</v>
      </c>
      <c r="C70" s="8" t="s">
        <v>619</v>
      </c>
      <c r="D70" s="8" t="s">
        <v>620</v>
      </c>
      <c r="E70" s="8" t="s">
        <v>621</v>
      </c>
      <c r="F70" s="8" t="s">
        <v>622</v>
      </c>
      <c r="G70" s="9" t="s">
        <v>623</v>
      </c>
      <c r="H70" s="8"/>
      <c r="I70" s="8" t="n">
        <f aca="false">COUNTIF(INDEX(Matrix!$C$3:$AK$100,MATCH(D70,Matrix!$B$3:$B$100,0),0),"x")</f>
        <v>2</v>
      </c>
    </row>
    <row r="71" customFormat="false" ht="23.85" hidden="false" customHeight="false" outlineLevel="0" collapsed="false">
      <c r="A71" s="7" t="s">
        <v>624</v>
      </c>
      <c r="B71" s="8" t="s">
        <v>310</v>
      </c>
      <c r="C71" s="8" t="s">
        <v>625</v>
      </c>
      <c r="D71" s="8" t="s">
        <v>626</v>
      </c>
      <c r="E71" s="8" t="s">
        <v>627</v>
      </c>
      <c r="F71" s="8" t="s">
        <v>628</v>
      </c>
      <c r="G71" s="9" t="s">
        <v>629</v>
      </c>
      <c r="H71" s="8"/>
      <c r="I71" s="8" t="n">
        <f aca="false">COUNTIF(INDEX(Matrix!$C$3:$AK$100,MATCH(D71,Matrix!$B$3:$B$100,0),0),"x")</f>
        <v>1</v>
      </c>
    </row>
    <row r="72" customFormat="false" ht="23.85" hidden="false" customHeight="false" outlineLevel="0" collapsed="false">
      <c r="A72" s="7" t="s">
        <v>630</v>
      </c>
      <c r="B72" s="8" t="s">
        <v>525</v>
      </c>
      <c r="C72" s="8" t="s">
        <v>631</v>
      </c>
      <c r="D72" s="8" t="s">
        <v>632</v>
      </c>
      <c r="E72" s="8" t="s">
        <v>633</v>
      </c>
      <c r="F72" s="8" t="s">
        <v>634</v>
      </c>
      <c r="G72" s="9" t="s">
        <v>635</v>
      </c>
      <c r="H72" s="8"/>
      <c r="I72" s="8" t="n">
        <f aca="false">COUNTIF(INDEX(Matrix!$C$3:$AK$100,MATCH(D72,Matrix!$B$3:$B$100,0),0),"x")</f>
        <v>1</v>
      </c>
    </row>
    <row r="73" customFormat="false" ht="35.05" hidden="false" customHeight="false" outlineLevel="0" collapsed="false">
      <c r="A73" s="7" t="s">
        <v>636</v>
      </c>
      <c r="B73" s="8" t="s">
        <v>637</v>
      </c>
      <c r="C73" s="8" t="s">
        <v>638</v>
      </c>
      <c r="D73" s="8" t="s">
        <v>639</v>
      </c>
      <c r="E73" s="8" t="s">
        <v>633</v>
      </c>
      <c r="F73" s="8" t="s">
        <v>640</v>
      </c>
      <c r="G73" s="9" t="s">
        <v>641</v>
      </c>
      <c r="H73" s="8"/>
      <c r="I73" s="8" t="n">
        <f aca="false">COUNTIF(INDEX(Matrix!$C$3:$AK$100,MATCH(D73,Matrix!$B$3:$B$100,0),0),"x")</f>
        <v>2</v>
      </c>
    </row>
    <row r="74" customFormat="false" ht="35.05" hidden="false" customHeight="false" outlineLevel="0" collapsed="false">
      <c r="A74" s="7" t="s">
        <v>642</v>
      </c>
      <c r="B74" s="8" t="s">
        <v>643</v>
      </c>
      <c r="C74" s="8" t="s">
        <v>644</v>
      </c>
      <c r="D74" s="8" t="s">
        <v>645</v>
      </c>
      <c r="E74" s="8" t="s">
        <v>206</v>
      </c>
      <c r="F74" s="8" t="s">
        <v>646</v>
      </c>
      <c r="G74" s="8"/>
      <c r="H74" s="8"/>
      <c r="I74" s="8" t="n">
        <f aca="false">COUNTIF(INDEX(Matrix!$C$3:$AK$100,MATCH(D74,Matrix!$B$3:$B$100,0),0),"x")</f>
        <v>3</v>
      </c>
    </row>
    <row r="75" customFormat="false" ht="23.85" hidden="false" customHeight="false" outlineLevel="0" collapsed="false">
      <c r="A75" s="7" t="s">
        <v>647</v>
      </c>
      <c r="B75" s="8" t="s">
        <v>648</v>
      </c>
      <c r="C75" s="8" t="s">
        <v>649</v>
      </c>
      <c r="D75" s="8" t="s">
        <v>650</v>
      </c>
      <c r="E75" s="8" t="s">
        <v>237</v>
      </c>
      <c r="F75" s="8" t="s">
        <v>651</v>
      </c>
      <c r="G75" s="9" t="s">
        <v>652</v>
      </c>
      <c r="H75" s="8"/>
      <c r="I75" s="8" t="n">
        <f aca="false">COUNTIF(INDEX(Matrix!$C$3:$AK$100,MATCH(D75,Matrix!$B$3:$B$100,0),0),"x")</f>
        <v>2</v>
      </c>
    </row>
    <row r="76" customFormat="false" ht="35.05" hidden="false" customHeight="false" outlineLevel="0" collapsed="false">
      <c r="A76" s="7" t="s">
        <v>653</v>
      </c>
      <c r="B76" s="8" t="s">
        <v>654</v>
      </c>
      <c r="C76" s="8" t="s">
        <v>655</v>
      </c>
      <c r="D76" s="8" t="s">
        <v>656</v>
      </c>
      <c r="E76" s="8" t="s">
        <v>206</v>
      </c>
      <c r="F76" s="8" t="s">
        <v>657</v>
      </c>
      <c r="G76" s="9" t="s">
        <v>658</v>
      </c>
      <c r="H76" s="8"/>
      <c r="I76" s="8" t="n">
        <f aca="false">COUNTIF(INDEX(Matrix!$C$3:$AK$100,MATCH(D76,Matrix!$B$3:$B$100,0),0),"x")</f>
        <v>1</v>
      </c>
    </row>
    <row r="77" customFormat="false" ht="35.05" hidden="false" customHeight="false" outlineLevel="0" collapsed="false">
      <c r="A77" s="7" t="s">
        <v>659</v>
      </c>
      <c r="B77" s="8" t="s">
        <v>660</v>
      </c>
      <c r="C77" s="8" t="s">
        <v>661</v>
      </c>
      <c r="D77" s="8" t="s">
        <v>662</v>
      </c>
      <c r="E77" s="8" t="s">
        <v>237</v>
      </c>
      <c r="F77" s="8" t="s">
        <v>663</v>
      </c>
      <c r="G77" s="9" t="s">
        <v>664</v>
      </c>
      <c r="H77" s="8"/>
      <c r="I77" s="8" t="n">
        <f aca="false">COUNTIF(INDEX(Matrix!$C$3:$AK$100,MATCH(D77,Matrix!$B$3:$B$100,0),0),"x")</f>
        <v>2</v>
      </c>
    </row>
    <row r="78" customFormat="false" ht="57.45" hidden="false" customHeight="false" outlineLevel="0" collapsed="false">
      <c r="A78" s="7" t="s">
        <v>665</v>
      </c>
      <c r="B78" s="8" t="s">
        <v>666</v>
      </c>
      <c r="C78" s="8" t="s">
        <v>667</v>
      </c>
      <c r="D78" s="8" t="s">
        <v>668</v>
      </c>
      <c r="E78" s="8" t="s">
        <v>669</v>
      </c>
      <c r="F78" s="8" t="s">
        <v>670</v>
      </c>
      <c r="G78" s="9" t="s">
        <v>671</v>
      </c>
      <c r="H78" s="8"/>
      <c r="I78" s="8" t="n">
        <f aca="false">COUNTIF(INDEX(Matrix!$C$3:$AK$100,MATCH(D78,Matrix!$B$3:$B$100,0),0),"x")</f>
        <v>3</v>
      </c>
    </row>
    <row r="79" customFormat="false" ht="35.05" hidden="false" customHeight="false" outlineLevel="0" collapsed="false">
      <c r="A79" s="7" t="s">
        <v>672</v>
      </c>
      <c r="B79" s="8" t="s">
        <v>304</v>
      </c>
      <c r="C79" s="8" t="s">
        <v>673</v>
      </c>
      <c r="D79" s="8" t="s">
        <v>674</v>
      </c>
      <c r="E79" s="8" t="s">
        <v>206</v>
      </c>
      <c r="F79" s="8" t="s">
        <v>675</v>
      </c>
      <c r="G79" s="9" t="s">
        <v>676</v>
      </c>
      <c r="H79" s="8"/>
      <c r="I79" s="8" t="n">
        <f aca="false">COUNTIF(INDEX(Matrix!$C$3:$AK$100,MATCH(D79,Matrix!$B$3:$B$100,0),0),"x")</f>
        <v>2</v>
      </c>
    </row>
    <row r="80" customFormat="false" ht="23.85" hidden="false" customHeight="false" outlineLevel="0" collapsed="false">
      <c r="A80" s="7" t="s">
        <v>677</v>
      </c>
      <c r="B80" s="8" t="s">
        <v>678</v>
      </c>
      <c r="C80" s="8" t="s">
        <v>679</v>
      </c>
      <c r="D80" s="8" t="s">
        <v>680</v>
      </c>
      <c r="E80" s="8" t="s">
        <v>237</v>
      </c>
      <c r="F80" s="8" t="s">
        <v>681</v>
      </c>
      <c r="G80" s="9" t="s">
        <v>682</v>
      </c>
      <c r="H80" s="8"/>
      <c r="I80" s="8" t="n">
        <f aca="false">COUNTIF(INDEX(Matrix!$C$3:$AK$100,MATCH(D80,Matrix!$B$3:$B$100,0),0),"x")</f>
        <v>2</v>
      </c>
    </row>
    <row r="81" customFormat="false" ht="23.85" hidden="false" customHeight="false" outlineLevel="0" collapsed="false">
      <c r="A81" s="7" t="s">
        <v>683</v>
      </c>
      <c r="B81" s="8" t="s">
        <v>684</v>
      </c>
      <c r="C81" s="8" t="s">
        <v>685</v>
      </c>
      <c r="D81" s="8" t="s">
        <v>686</v>
      </c>
      <c r="E81" s="8" t="s">
        <v>237</v>
      </c>
      <c r="F81" s="8" t="s">
        <v>687</v>
      </c>
      <c r="G81" s="9" t="s">
        <v>688</v>
      </c>
      <c r="H81" s="8"/>
      <c r="I81" s="8" t="n">
        <f aca="false">COUNTIF(INDEX(Matrix!$C$3:$AK$100,MATCH(D81,Matrix!$B$3:$B$100,0),0),"x")</f>
        <v>2</v>
      </c>
    </row>
    <row r="82" customFormat="false" ht="35.05" hidden="false" customHeight="false" outlineLevel="0" collapsed="false">
      <c r="A82" s="7" t="s">
        <v>689</v>
      </c>
      <c r="B82" s="8" t="s">
        <v>441</v>
      </c>
      <c r="C82" s="8" t="s">
        <v>690</v>
      </c>
      <c r="D82" s="8" t="s">
        <v>691</v>
      </c>
      <c r="E82" s="8" t="s">
        <v>614</v>
      </c>
      <c r="F82" s="8" t="s">
        <v>692</v>
      </c>
      <c r="G82" s="9" t="s">
        <v>693</v>
      </c>
      <c r="H82" s="8"/>
      <c r="I82" s="8" t="n">
        <f aca="false">COUNTIF(INDEX(Matrix!$C$3:$AK$100,MATCH(D82,Matrix!$B$3:$B$100,0),0),"x")</f>
        <v>2</v>
      </c>
    </row>
    <row r="83" customFormat="false" ht="35.05" hidden="false" customHeight="false" outlineLevel="0" collapsed="false">
      <c r="A83" s="7" t="s">
        <v>694</v>
      </c>
      <c r="B83" s="8" t="s">
        <v>559</v>
      </c>
      <c r="C83" s="8" t="s">
        <v>695</v>
      </c>
      <c r="D83" s="8" t="s">
        <v>696</v>
      </c>
      <c r="E83" s="8" t="s">
        <v>349</v>
      </c>
      <c r="F83" s="8" t="s">
        <v>697</v>
      </c>
      <c r="G83" s="9" t="s">
        <v>698</v>
      </c>
      <c r="H83" s="8"/>
      <c r="I83" s="8" t="n">
        <f aca="false">COUNTIF(INDEX(Matrix!$C$3:$AK$100,MATCH(D83,Matrix!$B$3:$B$100,0),0),"x")</f>
        <v>1</v>
      </c>
    </row>
    <row r="84" customFormat="false" ht="35.05" hidden="false" customHeight="false" outlineLevel="0" collapsed="false">
      <c r="A84" s="7" t="s">
        <v>699</v>
      </c>
      <c r="B84" s="8" t="s">
        <v>700</v>
      </c>
      <c r="C84" s="8" t="s">
        <v>701</v>
      </c>
      <c r="D84" s="8" t="s">
        <v>702</v>
      </c>
      <c r="E84" s="8" t="s">
        <v>627</v>
      </c>
      <c r="F84" s="8" t="s">
        <v>703</v>
      </c>
      <c r="G84" s="9" t="s">
        <v>704</v>
      </c>
      <c r="H84" s="8"/>
      <c r="I84" s="8" t="n">
        <f aca="false">COUNTIF(INDEX(Matrix!$C$3:$AK$100,MATCH(D84,Matrix!$B$3:$B$100,0),0),"x")</f>
        <v>2</v>
      </c>
    </row>
    <row r="85" customFormat="false" ht="35.05" hidden="false" customHeight="false" outlineLevel="0" collapsed="false">
      <c r="A85" s="7" t="s">
        <v>705</v>
      </c>
      <c r="B85" s="8" t="s">
        <v>706</v>
      </c>
      <c r="C85" s="8" t="s">
        <v>707</v>
      </c>
      <c r="D85" s="8" t="s">
        <v>708</v>
      </c>
      <c r="E85" s="8" t="s">
        <v>206</v>
      </c>
      <c r="F85" s="8" t="s">
        <v>709</v>
      </c>
      <c r="G85" s="9" t="s">
        <v>710</v>
      </c>
      <c r="H85" s="8"/>
      <c r="I85" s="8" t="n">
        <f aca="false">COUNTIF(INDEX(Matrix!$C$3:$AK$100,MATCH(D85,Matrix!$B$3:$B$100,0),0),"x")</f>
        <v>2</v>
      </c>
    </row>
    <row r="86" customFormat="false" ht="46.25" hidden="false" customHeight="false" outlineLevel="0" collapsed="false">
      <c r="A86" s="7" t="s">
        <v>711</v>
      </c>
      <c r="B86" s="8" t="s">
        <v>469</v>
      </c>
      <c r="C86" s="8" t="s">
        <v>712</v>
      </c>
      <c r="D86" s="8" t="s">
        <v>713</v>
      </c>
      <c r="E86" s="8" t="s">
        <v>472</v>
      </c>
      <c r="F86" s="8" t="s">
        <v>714</v>
      </c>
      <c r="G86" s="9" t="s">
        <v>715</v>
      </c>
      <c r="H86" s="8"/>
      <c r="I86" s="8" t="n">
        <f aca="false">COUNTIF(INDEX(Matrix!$C$3:$AK$100,MATCH(D86,Matrix!$B$3:$B$100,0),0),"x")</f>
        <v>2</v>
      </c>
    </row>
    <row r="87" customFormat="false" ht="46.25" hidden="false" customHeight="false" outlineLevel="0" collapsed="false">
      <c r="A87" s="7" t="s">
        <v>716</v>
      </c>
      <c r="B87" s="8" t="s">
        <v>717</v>
      </c>
      <c r="C87" s="8" t="s">
        <v>718</v>
      </c>
      <c r="D87" s="8" t="s">
        <v>719</v>
      </c>
      <c r="E87" s="8" t="s">
        <v>720</v>
      </c>
      <c r="F87" s="8" t="s">
        <v>721</v>
      </c>
      <c r="G87" s="9" t="s">
        <v>722</v>
      </c>
      <c r="H87" s="8"/>
      <c r="I87" s="8" t="n">
        <f aca="false">COUNTIF(INDEX(Matrix!$C$3:$AK$100,MATCH(D87,Matrix!$B$3:$B$100,0),0),"x")</f>
        <v>3</v>
      </c>
    </row>
    <row r="88" customFormat="false" ht="35.05" hidden="false" customHeight="false" outlineLevel="0" collapsed="false">
      <c r="A88" s="7" t="s">
        <v>723</v>
      </c>
      <c r="B88" s="8" t="s">
        <v>322</v>
      </c>
      <c r="C88" s="8" t="s">
        <v>724</v>
      </c>
      <c r="D88" s="8" t="s">
        <v>725</v>
      </c>
      <c r="E88" s="8" t="s">
        <v>408</v>
      </c>
      <c r="F88" s="8" t="s">
        <v>726</v>
      </c>
      <c r="G88" s="9" t="s">
        <v>727</v>
      </c>
      <c r="H88" s="8"/>
      <c r="I88" s="8" t="n">
        <f aca="false">COUNTIF(INDEX(Matrix!$C$3:$AK$100,MATCH(D88,Matrix!$B$3:$B$100,0),0),"x")</f>
        <v>1</v>
      </c>
    </row>
    <row r="89" customFormat="false" ht="23.85" hidden="false" customHeight="false" outlineLevel="0" collapsed="false">
      <c r="A89" s="7" t="s">
        <v>728</v>
      </c>
      <c r="B89" s="8" t="s">
        <v>729</v>
      </c>
      <c r="C89" s="8" t="s">
        <v>730</v>
      </c>
      <c r="D89" s="8" t="s">
        <v>731</v>
      </c>
      <c r="E89" s="8" t="s">
        <v>281</v>
      </c>
      <c r="F89" s="8" t="s">
        <v>732</v>
      </c>
      <c r="G89" s="9" t="s">
        <v>733</v>
      </c>
      <c r="H89" s="8"/>
      <c r="I89" s="8" t="n">
        <f aca="false">COUNTIF(INDEX(Matrix!$C$3:$AK$100,MATCH(D89,Matrix!$B$3:$B$100,0),0),"x")</f>
        <v>1</v>
      </c>
    </row>
    <row r="90" customFormat="false" ht="23.85" hidden="false" customHeight="false" outlineLevel="0" collapsed="false">
      <c r="A90" s="7" t="s">
        <v>734</v>
      </c>
      <c r="B90" s="8" t="s">
        <v>735</v>
      </c>
      <c r="C90" s="8" t="s">
        <v>736</v>
      </c>
      <c r="D90" s="8" t="s">
        <v>737</v>
      </c>
      <c r="E90" s="8" t="s">
        <v>432</v>
      </c>
      <c r="F90" s="8" t="s">
        <v>738</v>
      </c>
      <c r="G90" s="9" t="s">
        <v>739</v>
      </c>
      <c r="H90" s="8"/>
      <c r="I90" s="8" t="n">
        <f aca="false">COUNTIF(INDEX(Matrix!$C$3:$AK$100,MATCH(D90,Matrix!$B$3:$B$100,0),0),"x")</f>
        <v>1</v>
      </c>
    </row>
    <row r="91" customFormat="false" ht="35.05" hidden="false" customHeight="false" outlineLevel="0" collapsed="false">
      <c r="A91" s="7" t="s">
        <v>740</v>
      </c>
      <c r="B91" s="8" t="s">
        <v>741</v>
      </c>
      <c r="C91" s="8" t="s">
        <v>742</v>
      </c>
      <c r="D91" s="8" t="s">
        <v>743</v>
      </c>
      <c r="E91" s="8" t="s">
        <v>614</v>
      </c>
      <c r="F91" s="8" t="s">
        <v>744</v>
      </c>
      <c r="G91" s="9" t="s">
        <v>745</v>
      </c>
      <c r="H91" s="8"/>
      <c r="I91" s="8" t="n">
        <f aca="false">COUNTIF(INDEX(Matrix!$C$3:$AK$100,MATCH(D91,Matrix!$B$3:$B$100,0),0),"x")</f>
        <v>2</v>
      </c>
    </row>
    <row r="92" customFormat="false" ht="46.25" hidden="false" customHeight="false" outlineLevel="0" collapsed="false">
      <c r="A92" s="7" t="s">
        <v>746</v>
      </c>
      <c r="B92" s="8" t="s">
        <v>747</v>
      </c>
      <c r="C92" s="8" t="s">
        <v>748</v>
      </c>
      <c r="D92" s="8" t="s">
        <v>749</v>
      </c>
      <c r="E92" s="8" t="s">
        <v>750</v>
      </c>
      <c r="F92" s="8" t="s">
        <v>751</v>
      </c>
      <c r="G92" s="9" t="s">
        <v>752</v>
      </c>
      <c r="H92" s="8"/>
      <c r="I92" s="8" t="n">
        <f aca="false">COUNTIF(INDEX(Matrix!$C$3:$AK$100,MATCH(D92,Matrix!$B$3:$B$100,0),0),"x")</f>
        <v>3</v>
      </c>
    </row>
    <row r="93" customFormat="false" ht="35.05" hidden="false" customHeight="false" outlineLevel="0" collapsed="false">
      <c r="A93" s="7" t="s">
        <v>753</v>
      </c>
      <c r="B93" s="8" t="s">
        <v>754</v>
      </c>
      <c r="C93" s="8" t="s">
        <v>755</v>
      </c>
      <c r="D93" s="8" t="s">
        <v>756</v>
      </c>
      <c r="E93" s="8" t="s">
        <v>237</v>
      </c>
      <c r="F93" s="8" t="s">
        <v>757</v>
      </c>
      <c r="G93" s="9" t="s">
        <v>758</v>
      </c>
      <c r="H93" s="8"/>
      <c r="I93" s="8" t="n">
        <f aca="false">COUNTIF(INDEX(Matrix!$C$3:$AK$100,MATCH(D93,Matrix!$B$3:$B$100,0),0),"x")</f>
        <v>3</v>
      </c>
    </row>
    <row r="94" customFormat="false" ht="46.25" hidden="false" customHeight="false" outlineLevel="0" collapsed="false">
      <c r="A94" s="7" t="s">
        <v>759</v>
      </c>
      <c r="B94" s="8" t="s">
        <v>760</v>
      </c>
      <c r="C94" s="8" t="s">
        <v>761</v>
      </c>
      <c r="D94" s="8" t="s">
        <v>762</v>
      </c>
      <c r="E94" s="8" t="s">
        <v>206</v>
      </c>
      <c r="F94" s="8" t="s">
        <v>763</v>
      </c>
      <c r="G94" s="9" t="s">
        <v>764</v>
      </c>
      <c r="H94" s="8"/>
      <c r="I94" s="8" t="n">
        <f aca="false">COUNTIF(INDEX(Matrix!$C$3:$AK$100,MATCH(D94,Matrix!$B$3:$B$100,0),0),"x")</f>
        <v>1</v>
      </c>
    </row>
    <row r="95" customFormat="false" ht="23.85" hidden="false" customHeight="false" outlineLevel="0" collapsed="false">
      <c r="A95" s="7" t="s">
        <v>765</v>
      </c>
      <c r="B95" s="8" t="s">
        <v>760</v>
      </c>
      <c r="C95" s="8" t="s">
        <v>766</v>
      </c>
      <c r="D95" s="8" t="s">
        <v>767</v>
      </c>
      <c r="E95" s="8" t="s">
        <v>768</v>
      </c>
      <c r="F95" s="8" t="s">
        <v>769</v>
      </c>
      <c r="G95" s="9" t="s">
        <v>770</v>
      </c>
      <c r="H95" s="8"/>
      <c r="I95" s="8" t="n">
        <f aca="false">COUNTIF(INDEX(Matrix!$C$3:$AK$100,MATCH(D95,Matrix!$B$3:$B$100,0),0),"x")</f>
        <v>1</v>
      </c>
    </row>
    <row r="96" customFormat="false" ht="35.05" hidden="false" customHeight="false" outlineLevel="0" collapsed="false">
      <c r="A96" s="7" t="s">
        <v>771</v>
      </c>
      <c r="B96" s="8" t="s">
        <v>772</v>
      </c>
      <c r="C96" s="8" t="s">
        <v>773</v>
      </c>
      <c r="D96" s="8" t="s">
        <v>774</v>
      </c>
      <c r="E96" s="8" t="s">
        <v>281</v>
      </c>
      <c r="F96" s="8" t="s">
        <v>775</v>
      </c>
      <c r="G96" s="9" t="s">
        <v>776</v>
      </c>
      <c r="H96" s="8"/>
      <c r="I96" s="8" t="n">
        <f aca="false">COUNTIF(INDEX(Matrix!$C$3:$AK$100,MATCH(D96,Matrix!$B$3:$B$100,0),0),"x")</f>
        <v>2</v>
      </c>
    </row>
    <row r="97" customFormat="false" ht="23.85" hidden="false" customHeight="false" outlineLevel="0" collapsed="false">
      <c r="A97" s="7" t="s">
        <v>777</v>
      </c>
      <c r="B97" s="8" t="s">
        <v>778</v>
      </c>
      <c r="C97" s="8" t="s">
        <v>779</v>
      </c>
      <c r="D97" s="8" t="s">
        <v>780</v>
      </c>
      <c r="E97" s="8" t="s">
        <v>244</v>
      </c>
      <c r="F97" s="8" t="s">
        <v>781</v>
      </c>
      <c r="G97" s="9" t="s">
        <v>782</v>
      </c>
      <c r="H97" s="8"/>
      <c r="I97" s="8" t="n">
        <f aca="false">COUNTIF(INDEX(Matrix!$C$3:$AK$100,MATCH(D97,Matrix!$B$3:$B$100,0),0),"x")</f>
        <v>1</v>
      </c>
    </row>
    <row r="98" customFormat="false" ht="35.05" hidden="false" customHeight="false" outlineLevel="0" collapsed="false">
      <c r="A98" s="7" t="s">
        <v>783</v>
      </c>
      <c r="B98" s="8" t="s">
        <v>772</v>
      </c>
      <c r="C98" s="8" t="s">
        <v>784</v>
      </c>
      <c r="D98" s="8" t="s">
        <v>785</v>
      </c>
      <c r="E98" s="8" t="s">
        <v>432</v>
      </c>
      <c r="F98" s="8" t="s">
        <v>786</v>
      </c>
      <c r="G98" s="9" t="s">
        <v>787</v>
      </c>
      <c r="H98" s="8"/>
      <c r="I98" s="8" t="n">
        <f aca="false">COUNTIF(INDEX(Matrix!$C$3:$AK$100,MATCH(D98,Matrix!$B$3:$B$100,0),0),"x")</f>
        <v>2</v>
      </c>
    </row>
    <row r="99" customFormat="false" ht="35.05" hidden="false" customHeight="false" outlineLevel="0" collapsed="false">
      <c r="A99" s="7" t="s">
        <v>788</v>
      </c>
      <c r="B99" s="8" t="s">
        <v>789</v>
      </c>
      <c r="C99" s="8" t="s">
        <v>790</v>
      </c>
      <c r="D99" s="8" t="s">
        <v>791</v>
      </c>
      <c r="E99" s="8" t="s">
        <v>281</v>
      </c>
      <c r="F99" s="8" t="s">
        <v>792</v>
      </c>
      <c r="G99" s="9" t="s">
        <v>793</v>
      </c>
      <c r="H99" s="8"/>
      <c r="I99" s="8" t="n">
        <f aca="false">COUNTIF(INDEX(Matrix!$C$3:$AK$100,MATCH(D99,Matrix!$B$3:$B$100,0),0),"x")</f>
        <v>2</v>
      </c>
    </row>
  </sheetData>
  <autoFilter ref="A1:I99"/>
  <hyperlinks>
    <hyperlink ref="G2" r:id="rId1" display="https://doi.org/10.1007/s10683-018-9571-6"/>
    <hyperlink ref="G3" r:id="rId2" display="https://doi.org/10.2307/2118502"/>
    <hyperlink ref="G4" r:id="rId3" display="https://doi.org/10.1257/mic.20190023"/>
    <hyperlink ref="G5" r:id="rId4" display="https://doi.org/10.1016/j.geb.2016.04.010"/>
    <hyperlink ref="G6" r:id="rId5" display="https://doi.org/10.1093/restud/rdv009"/>
    <hyperlink ref="G7" r:id="rId6" display="https://www.loc.gov/item/51009755/"/>
    <hyperlink ref="G8" r:id="rId7" display="https://doi.org/10.1073/pnas.0702634104"/>
    <hyperlink ref="G9" r:id="rId8" display="https://doi.org/10.7551/mitpress/9780262015134.001.0001"/>
    <hyperlink ref="G10" r:id="rId9" display="https://doi.org/10.1016/j.geb.2015.10.005"/>
    <hyperlink ref="G11" r:id="rId10" display="https://doi.org/10.1111/1756-2171.12401"/>
    <hyperlink ref="G12" r:id="rId11" display="https://doi.org/10.3982/TE2118"/>
    <hyperlink ref="G13" r:id="rId12" display="https://doi.org/10.2307/1961664"/>
    <hyperlink ref="G14" r:id="rId13" display="https://doi.org/10.1007/BF00303169"/>
    <hyperlink ref="G15" r:id="rId14" display="https://doi.org/10.1007/BF00295861"/>
    <hyperlink ref="G16" r:id="rId15" display="https://doi.org/10.1086/256633"/>
    <hyperlink ref="G17" r:id="rId16" display="https://doi.org/10.1016/j.jet.2014.11.008"/>
    <hyperlink ref="G18" r:id="rId17" display="https://doi.org/10.1016/j.geb.2016.12.001"/>
    <hyperlink ref="G19" r:id="rId18" display="https://doi.org/10.1086/695477"/>
    <hyperlink ref="G20" r:id="rId19" display="https://doi.org/10.2307/1955105"/>
    <hyperlink ref="G21" r:id="rId20" display="https://doi.org/10.1023/A:1011252808608"/>
    <hyperlink ref="G22" r:id="rId21" display="https://doi.org/10.3982/ECTA13337"/>
    <hyperlink ref="G23" r:id="rId22" display="https://doi.org/10.1017/CBO9781107446984"/>
    <hyperlink ref="G24" r:id="rId23" display="https://doi.org/10.1016/j.mathsocsci.2016.09.003"/>
    <hyperlink ref="G25" r:id="rId24" display="https://doi.org/10.1111/1756-2171.12457"/>
    <hyperlink ref="G26" r:id="rId25" display="https://www.loc.gov/item/62007705/"/>
    <hyperlink ref="G27" r:id="rId26" display="https://doi.org/10.1007/s10058-022-00302-w"/>
    <hyperlink ref="G28" r:id="rId27" display="https://doi.org/10.2307/1912699"/>
    <hyperlink ref="G29" r:id="rId28" display="https://doi.org/10.1016/j.geb.2004.09.009"/>
    <hyperlink ref="G30" r:id="rId29" display="https://www.loc.gov/item/06005363/"/>
    <hyperlink ref="G31" r:id="rId30" display="https://www.debian.org/devel/constitution"/>
    <hyperlink ref="G32" r:id="rId31" display="https://doi.org/10.1086/686747"/>
    <hyperlink ref="G33" r:id="rId32" display="https://doi.org/10.1007/s00355-015-0892-5"/>
    <hyperlink ref="G34" r:id="rId33" display="http://data.europa.eu/eli/treaty/teu_2016/oj"/>
    <hyperlink ref="G35" r:id="rId34" display="https://doi.org/10.1609/aimag.v31i4.2314"/>
    <hyperlink ref="G36" r:id="rId35" display="https://researchonline.lse.ac.uk/id/eprint/24213/"/>
    <hyperlink ref="G37" r:id="rId36" display="https://doi.org/10.1007/978-3-642-20441-8_3"/>
    <hyperlink ref="G38" r:id="rId37" display="https://doi.org/10.1137/0133030"/>
    <hyperlink ref="G39" r:id="rId38" display="https://doi.org/10.2307/2297786"/>
    <hyperlink ref="G40" r:id="rId39" display="https://doi.org/10.1016/0022-0531(76)90063-6"/>
    <hyperlink ref="G41" r:id="rId40" display="https://doi.org/10.1007/3-540-33799-7"/>
    <hyperlink ref="G42" r:id="rId41" display="https://arxiv.org/abs/2410.20476"/>
    <hyperlink ref="G43" r:id="rId42" display="https://doi.org/10.1007/s00355-023-01505-y"/>
    <hyperlink ref="G44" r:id="rId43" display="https://arxiv.org/abs/2506.05998"/>
    <hyperlink ref="G45" r:id="rId44" display="https://doi.org/10.2307/1914083"/>
    <hyperlink ref="G46" r:id="rId45" display="https://doi.org/10.1007/s11127-026-01383-9"/>
    <hyperlink ref="G47" r:id="rId46" display="https://doi.org/10.1007/s00355-015-0909-0"/>
    <hyperlink ref="G48" r:id="rId47" display="https://doi.org/10.2307/1910410"/>
    <hyperlink ref="G49" r:id="rId48" display="https://doi.org/10.3406/ecoap.1952.3831"/>
    <hyperlink ref="G50" r:id="rId49" display="https://doi.org/10.1007/BF00125914"/>
    <hyperlink ref="G51" r:id="rId50" display="https://doi.org/10.1007/s11127-023-01042-3"/>
    <hyperlink ref="G52" r:id="rId51" display="https://doi.org/10.1007/s10602-022-09383-9"/>
    <hyperlink ref="G53" r:id="rId52" display="https://doi.org/10.1007/978-1-349-14540-9_4"/>
    <hyperlink ref="G54" r:id="rId53" display="https://doi.org/10.1609/aaai.v35i6.16691"/>
    <hyperlink ref="G55" r:id="rId54" display="https://doi.org/10.1007/s10683-010-9234-8"/>
    <hyperlink ref="G56" r:id="rId55" display="https://doi.org/10.1257/aer.20201817"/>
    <hyperlink ref="G57" r:id="rId56" display="https://www.jstor.org/stable/20026529"/>
    <hyperlink ref="G58" r:id="rId57" display="https://doi.org/10.65109/hmhq1427"/>
    <hyperlink ref="G59" r:id="rId58" display="https://doi.org/10.1007/s11127-019-00697-1"/>
    <hyperlink ref="G60" r:id="rId59" display="https://doi.org/10.3917/neg.027.0109"/>
    <hyperlink ref="G61" r:id="rId60" display="https://doi.org/10.1006/game.1993.1010"/>
    <hyperlink ref="G62" r:id="rId61" display="https://doi.org/10.1002/bs.3830360303"/>
    <hyperlink ref="G63" r:id="rId62" display="https://doi.org/10.1007/978-3-642-02839-7"/>
    <hyperlink ref="G64" r:id="rId63" display="https://doi.org/10.1007/978-3-642-20441-8_13"/>
    <hyperlink ref="G65" r:id="rId64" display="https://doi.org/10.1016/j.jet.2021.105261"/>
    <hyperlink ref="G66" r:id="rId65" display="https://doi.org/10.1093/biomet/44.1-2.114"/>
    <hyperlink ref="G67" r:id="rId66" display="https://doi.org/10.1007/978-3-642-41575-3_20"/>
    <hyperlink ref="G68" r:id="rId67" display="https://doi.org/10.2307/1907651"/>
    <hyperlink ref="G69" r:id="rId68" display="https://doi.org/10.1016/0022-0531(76)90040-5"/>
    <hyperlink ref="G70" r:id="rId69" display="https://doi.org/10.2307/2110786"/>
    <hyperlink ref="G71" r:id="rId70" display="https://doi.org/10.1257/mic.20230208"/>
    <hyperlink ref="G72" r:id="rId71" display="https://doi.org/10.2307/2297154"/>
    <hyperlink ref="G73" r:id="rId72" display="https://doi.org/10.2307/1912535"/>
    <hyperlink ref="G75" r:id="rId73" display="https://doi.org/10.1016/0022-0531(88)90253-0"/>
    <hyperlink ref="G76" r:id="rId74" display="https://doi.org/10.1016/0047-2727(78)90005-1"/>
    <hyperlink ref="G77" r:id="rId75" display="https://doi.org/10.1007/BF01763051"/>
    <hyperlink ref="G78" r:id="rId76" display="https://doi.org/10.1016/j.geb.2020.11.006"/>
    <hyperlink ref="G79" r:id="rId77" display="https://doi.org/10.1016/j.geb.2025.07.010"/>
    <hyperlink ref="G80" r:id="rId78" display="https://www.jstor.org/stable/1815369"/>
    <hyperlink ref="G81" r:id="rId79" display="https://doi.org/10.2307/1954283"/>
    <hyperlink ref="G82" r:id="rId80" display="https://www.loc.gov/item/2005023291/"/>
    <hyperlink ref="G83" r:id="rId81" display="https://doi.org/10.17487/RFC7282"/>
    <hyperlink ref="G84" r:id="rId82" display="https://doi.org/10.1007/s10602-008-9037-5"/>
    <hyperlink ref="G85" r:id="rId83" display="https://doi.org/10.1007/BF03187594"/>
    <hyperlink ref="G86" r:id="rId84" display="https://doi.org/10.1016/0022-0531(75)90050-2"/>
    <hyperlink ref="G87" r:id="rId85" display="https://doi.org/10.1007/s00355-010-0475-4"/>
    <hyperlink ref="G88" r:id="rId86" display="https://doi.org/10.1007/s003550050164"/>
    <hyperlink ref="G89" r:id="rId87" display="https://doi.org/10.2307/1880533"/>
    <hyperlink ref="G90" r:id="rId88" display="https://doi.org/10.2307/1914033"/>
    <hyperlink ref="G91" r:id="rId89" display="https://doi.org/10.1007/978-3-642-20441-8_9"/>
    <hyperlink ref="G92" r:id="rId90" display="https://doi.org/10.1007/BF00433944"/>
    <hyperlink ref="G93" r:id="rId91" display="https://www.loc.gov/item/2006021134/"/>
    <hyperlink ref="G94" r:id="rId92" display="https://doi.org/10.1017/S0007123400007225"/>
    <hyperlink ref="G95" r:id="rId93" display="https://doi.org/10.1515/9781400831456"/>
    <hyperlink ref="G96" r:id="rId94" display="https://doi.org/10.1137/0135023"/>
    <hyperlink ref="G97" r:id="rId95" display="https://doi.org/10.1016/0022-0531(74)90073-8"/>
    <hyperlink ref="G98" r:id="rId96" display="https://doi.org/10.2307/1961757"/>
    <hyperlink ref="G99" r:id="rId97" display="https://doi.org/10.1007/BF00303170"/>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9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7" min="3" style="0" width="5"/>
    <col collapsed="false" customWidth="true" hidden="false" outlineLevel="0" max="38" min="38" style="0" width="9"/>
  </cols>
  <sheetData>
    <row r="1" customFormat="false" ht="189.75" hidden="false" customHeight="true" outlineLevel="0" collapsed="false">
      <c r="A1" s="6" t="s">
        <v>193</v>
      </c>
      <c r="B1" s="6" t="s">
        <v>196</v>
      </c>
      <c r="C1" s="10" t="s">
        <v>23</v>
      </c>
      <c r="D1" s="10" t="s">
        <v>28</v>
      </c>
      <c r="E1" s="10" t="s">
        <v>33</v>
      </c>
      <c r="F1" s="10" t="s">
        <v>38</v>
      </c>
      <c r="G1" s="10" t="s">
        <v>43</v>
      </c>
      <c r="H1" s="10" t="s">
        <v>48</v>
      </c>
      <c r="I1" s="10" t="s">
        <v>52</v>
      </c>
      <c r="J1" s="10" t="s">
        <v>57</v>
      </c>
      <c r="K1" s="10" t="s">
        <v>62</v>
      </c>
      <c r="L1" s="10" t="s">
        <v>67</v>
      </c>
      <c r="M1" s="10" t="s">
        <v>72</v>
      </c>
      <c r="N1" s="10" t="s">
        <v>77</v>
      </c>
      <c r="O1" s="10" t="s">
        <v>82</v>
      </c>
      <c r="P1" s="10" t="s">
        <v>87</v>
      </c>
      <c r="Q1" s="10" t="s">
        <v>92</v>
      </c>
      <c r="R1" s="10" t="s">
        <v>96</v>
      </c>
      <c r="S1" s="10" t="s">
        <v>101</v>
      </c>
      <c r="T1" s="10" t="s">
        <v>106</v>
      </c>
      <c r="U1" s="10" t="s">
        <v>111</v>
      </c>
      <c r="V1" s="10" t="s">
        <v>116</v>
      </c>
      <c r="W1" s="10" t="s">
        <v>121</v>
      </c>
      <c r="X1" s="10" t="s">
        <v>126</v>
      </c>
      <c r="Y1" s="10" t="s">
        <v>131</v>
      </c>
      <c r="Z1" s="10" t="s">
        <v>135</v>
      </c>
      <c r="AA1" s="10" t="s">
        <v>140</v>
      </c>
      <c r="AB1" s="10" t="s">
        <v>145</v>
      </c>
      <c r="AC1" s="10" t="s">
        <v>150</v>
      </c>
      <c r="AD1" s="10" t="s">
        <v>155</v>
      </c>
      <c r="AE1" s="10" t="s">
        <v>159</v>
      </c>
      <c r="AF1" s="10" t="s">
        <v>164</v>
      </c>
      <c r="AG1" s="10" t="s">
        <v>169</v>
      </c>
      <c r="AH1" s="10" t="s">
        <v>174</v>
      </c>
      <c r="AI1" s="10" t="s">
        <v>179</v>
      </c>
      <c r="AJ1" s="10" t="s">
        <v>184</v>
      </c>
      <c r="AK1" s="10" t="s">
        <v>189</v>
      </c>
      <c r="AL1" s="10" t="s">
        <v>201</v>
      </c>
    </row>
    <row r="2" customFormat="false" ht="15.75" hidden="false" customHeight="true" outlineLevel="0" collapsed="false">
      <c r="A2" s="6"/>
      <c r="B2" s="6" t="s">
        <v>21</v>
      </c>
      <c r="C2" s="11" t="s">
        <v>27</v>
      </c>
      <c r="D2" s="11" t="s">
        <v>32</v>
      </c>
      <c r="E2" s="11" t="s">
        <v>37</v>
      </c>
      <c r="F2" s="11" t="s">
        <v>42</v>
      </c>
      <c r="G2" s="11" t="s">
        <v>47</v>
      </c>
      <c r="H2" s="11" t="s">
        <v>51</v>
      </c>
      <c r="I2" s="11" t="s">
        <v>56</v>
      </c>
      <c r="J2" s="11" t="s">
        <v>61</v>
      </c>
      <c r="K2" s="11" t="s">
        <v>66</v>
      </c>
      <c r="L2" s="11" t="s">
        <v>71</v>
      </c>
      <c r="M2" s="11" t="s">
        <v>76</v>
      </c>
      <c r="N2" s="11" t="s">
        <v>81</v>
      </c>
      <c r="O2" s="11" t="s">
        <v>86</v>
      </c>
      <c r="P2" s="11" t="s">
        <v>91</v>
      </c>
      <c r="Q2" s="11" t="s">
        <v>95</v>
      </c>
      <c r="R2" s="11" t="s">
        <v>100</v>
      </c>
      <c r="S2" s="11" t="s">
        <v>105</v>
      </c>
      <c r="T2" s="11" t="s">
        <v>110</v>
      </c>
      <c r="U2" s="11" t="s">
        <v>115</v>
      </c>
      <c r="V2" s="11" t="s">
        <v>120</v>
      </c>
      <c r="W2" s="11" t="s">
        <v>125</v>
      </c>
      <c r="X2" s="11" t="s">
        <v>130</v>
      </c>
      <c r="Y2" s="11" t="s">
        <v>134</v>
      </c>
      <c r="Z2" s="11" t="s">
        <v>139</v>
      </c>
      <c r="AA2" s="11" t="s">
        <v>144</v>
      </c>
      <c r="AB2" s="11" t="s">
        <v>149</v>
      </c>
      <c r="AC2" s="11" t="s">
        <v>154</v>
      </c>
      <c r="AD2" s="11" t="s">
        <v>158</v>
      </c>
      <c r="AE2" s="11" t="s">
        <v>163</v>
      </c>
      <c r="AF2" s="11" t="s">
        <v>168</v>
      </c>
      <c r="AG2" s="11" t="s">
        <v>173</v>
      </c>
      <c r="AH2" s="11" t="s">
        <v>178</v>
      </c>
      <c r="AI2" s="11" t="s">
        <v>183</v>
      </c>
      <c r="AJ2" s="11" t="s">
        <v>188</v>
      </c>
      <c r="AK2" s="11" t="s">
        <v>192</v>
      </c>
      <c r="AL2" s="11"/>
    </row>
    <row r="3" customFormat="false" ht="15" hidden="false" customHeight="false" outlineLevel="0" collapsed="false">
      <c r="A3" s="12" t="s">
        <v>794</v>
      </c>
      <c r="B3" s="12" t="s">
        <v>205</v>
      </c>
      <c r="C3" s="13"/>
      <c r="D3" s="13"/>
      <c r="E3" s="13"/>
      <c r="F3" s="13"/>
      <c r="G3" s="13"/>
      <c r="H3" s="13"/>
      <c r="I3" s="13"/>
      <c r="J3" s="13"/>
      <c r="K3" s="13"/>
      <c r="L3" s="13"/>
      <c r="M3" s="13"/>
      <c r="N3" s="13"/>
      <c r="O3" s="13"/>
      <c r="P3" s="13"/>
      <c r="Q3" s="13"/>
      <c r="R3" s="13"/>
      <c r="S3" s="13"/>
      <c r="T3" s="13"/>
      <c r="U3" s="13"/>
      <c r="V3" s="14" t="s">
        <v>795</v>
      </c>
      <c r="W3" s="13"/>
      <c r="X3" s="13"/>
      <c r="Y3" s="13"/>
      <c r="Z3" s="13"/>
      <c r="AA3" s="13"/>
      <c r="AB3" s="13"/>
      <c r="AC3" s="13"/>
      <c r="AD3" s="13"/>
      <c r="AE3" s="13"/>
      <c r="AF3" s="13"/>
      <c r="AG3" s="13"/>
      <c r="AH3" s="13"/>
      <c r="AI3" s="14" t="s">
        <v>795</v>
      </c>
      <c r="AJ3" s="13"/>
      <c r="AK3" s="13"/>
      <c r="AL3" s="15" t="n">
        <f aca="false">COUNTIF(C3:AK3,"x")</f>
        <v>2</v>
      </c>
    </row>
    <row r="4" customFormat="false" ht="15" hidden="false" customHeight="false" outlineLevel="0" collapsed="false">
      <c r="A4" s="12" t="s">
        <v>796</v>
      </c>
      <c r="B4" s="12" t="s">
        <v>212</v>
      </c>
      <c r="C4" s="13"/>
      <c r="D4" s="13"/>
      <c r="E4" s="13"/>
      <c r="F4" s="13"/>
      <c r="G4" s="13"/>
      <c r="H4" s="13"/>
      <c r="I4" s="13"/>
      <c r="J4" s="13"/>
      <c r="K4" s="13"/>
      <c r="L4" s="13"/>
      <c r="M4" s="13"/>
      <c r="N4" s="13"/>
      <c r="O4" s="13"/>
      <c r="P4" s="13"/>
      <c r="Q4" s="13"/>
      <c r="R4" s="13"/>
      <c r="S4" s="13"/>
      <c r="T4" s="13"/>
      <c r="U4" s="13"/>
      <c r="V4" s="13"/>
      <c r="W4" s="13"/>
      <c r="X4" s="13"/>
      <c r="Y4" s="13"/>
      <c r="Z4" s="13"/>
      <c r="AA4" s="14" t="s">
        <v>795</v>
      </c>
      <c r="AB4" s="13"/>
      <c r="AC4" s="13"/>
      <c r="AD4" s="13"/>
      <c r="AE4" s="14" t="s">
        <v>795</v>
      </c>
      <c r="AF4" s="13"/>
      <c r="AG4" s="13"/>
      <c r="AH4" s="13"/>
      <c r="AI4" s="13"/>
      <c r="AJ4" s="13"/>
      <c r="AK4" s="13"/>
      <c r="AL4" s="15" t="n">
        <f aca="false">COUNTIF(C4:AK4,"x")</f>
        <v>2</v>
      </c>
    </row>
    <row r="5" customFormat="false" ht="15" hidden="false" customHeight="false" outlineLevel="0" collapsed="false">
      <c r="A5" s="12" t="s">
        <v>797</v>
      </c>
      <c r="B5" s="12" t="s">
        <v>218</v>
      </c>
      <c r="C5" s="13"/>
      <c r="D5" s="13"/>
      <c r="E5" s="13"/>
      <c r="F5" s="13"/>
      <c r="G5" s="13"/>
      <c r="H5" s="13"/>
      <c r="I5" s="13"/>
      <c r="J5" s="13"/>
      <c r="K5" s="13"/>
      <c r="L5" s="13"/>
      <c r="M5" s="13"/>
      <c r="N5" s="13"/>
      <c r="O5" s="13"/>
      <c r="P5" s="13"/>
      <c r="Q5" s="13"/>
      <c r="R5" s="13"/>
      <c r="S5" s="13"/>
      <c r="T5" s="13"/>
      <c r="U5" s="13"/>
      <c r="V5" s="13"/>
      <c r="W5" s="14" t="s">
        <v>795</v>
      </c>
      <c r="X5" s="13"/>
      <c r="Y5" s="14" t="s">
        <v>795</v>
      </c>
      <c r="Z5" s="13"/>
      <c r="AA5" s="13"/>
      <c r="AB5" s="13"/>
      <c r="AC5" s="13"/>
      <c r="AD5" s="13"/>
      <c r="AE5" s="13"/>
      <c r="AF5" s="13"/>
      <c r="AG5" s="13"/>
      <c r="AH5" s="13"/>
      <c r="AI5" s="13"/>
      <c r="AJ5" s="13"/>
      <c r="AK5" s="13"/>
      <c r="AL5" s="15" t="n">
        <f aca="false">COUNTIF(C5:AK5,"x")</f>
        <v>2</v>
      </c>
    </row>
    <row r="6" customFormat="false" ht="15" hidden="false" customHeight="false" outlineLevel="0" collapsed="false">
      <c r="A6" s="12" t="s">
        <v>798</v>
      </c>
      <c r="B6" s="12" t="s">
        <v>224</v>
      </c>
      <c r="C6" s="13"/>
      <c r="D6" s="13"/>
      <c r="E6" s="13"/>
      <c r="F6" s="13"/>
      <c r="G6" s="13"/>
      <c r="H6" s="13"/>
      <c r="I6" s="13"/>
      <c r="J6" s="13"/>
      <c r="K6" s="13"/>
      <c r="L6" s="13"/>
      <c r="M6" s="13"/>
      <c r="N6" s="13"/>
      <c r="O6" s="13"/>
      <c r="P6" s="13"/>
      <c r="Q6" s="13"/>
      <c r="R6" s="13"/>
      <c r="S6" s="13"/>
      <c r="T6" s="13"/>
      <c r="U6" s="13"/>
      <c r="V6" s="13"/>
      <c r="W6" s="14" t="s">
        <v>795</v>
      </c>
      <c r="X6" s="13"/>
      <c r="Y6" s="14" t="s">
        <v>795</v>
      </c>
      <c r="Z6" s="13"/>
      <c r="AA6" s="13"/>
      <c r="AB6" s="13"/>
      <c r="AC6" s="13"/>
      <c r="AD6" s="13"/>
      <c r="AE6" s="13"/>
      <c r="AF6" s="13"/>
      <c r="AG6" s="13"/>
      <c r="AH6" s="13"/>
      <c r="AI6" s="13"/>
      <c r="AJ6" s="13"/>
      <c r="AK6" s="13"/>
      <c r="AL6" s="15" t="n">
        <f aca="false">COUNTIF(C6:AK6,"x")</f>
        <v>2</v>
      </c>
    </row>
    <row r="7" customFormat="false" ht="15" hidden="false" customHeight="false" outlineLevel="0" collapsed="false">
      <c r="A7" s="12" t="s">
        <v>799</v>
      </c>
      <c r="B7" s="12" t="s">
        <v>230</v>
      </c>
      <c r="C7" s="13"/>
      <c r="D7" s="13"/>
      <c r="E7" s="13"/>
      <c r="F7" s="13"/>
      <c r="G7" s="13"/>
      <c r="H7" s="13"/>
      <c r="I7" s="13"/>
      <c r="J7" s="13"/>
      <c r="K7" s="13"/>
      <c r="L7" s="13"/>
      <c r="M7" s="13"/>
      <c r="N7" s="13"/>
      <c r="O7" s="13"/>
      <c r="P7" s="13"/>
      <c r="Q7" s="13"/>
      <c r="R7" s="13"/>
      <c r="S7" s="13"/>
      <c r="T7" s="13"/>
      <c r="U7" s="13"/>
      <c r="V7" s="13"/>
      <c r="W7" s="13"/>
      <c r="X7" s="13"/>
      <c r="Y7" s="14" t="s">
        <v>795</v>
      </c>
      <c r="Z7" s="13"/>
      <c r="AA7" s="13"/>
      <c r="AB7" s="13"/>
      <c r="AC7" s="13"/>
      <c r="AD7" s="13"/>
      <c r="AE7" s="13"/>
      <c r="AF7" s="13"/>
      <c r="AG7" s="13"/>
      <c r="AH7" s="13"/>
      <c r="AI7" s="13"/>
      <c r="AJ7" s="13"/>
      <c r="AK7" s="13"/>
      <c r="AL7" s="15" t="n">
        <f aca="false">COUNTIF(C7:AK7,"x")</f>
        <v>1</v>
      </c>
    </row>
    <row r="8" customFormat="false" ht="15" hidden="false" customHeight="false" outlineLevel="0" collapsed="false">
      <c r="A8" s="12" t="s">
        <v>800</v>
      </c>
      <c r="B8" s="12" t="s">
        <v>236</v>
      </c>
      <c r="C8" s="13"/>
      <c r="D8" s="13"/>
      <c r="E8" s="13"/>
      <c r="F8" s="13"/>
      <c r="G8" s="13"/>
      <c r="H8" s="13"/>
      <c r="I8" s="13"/>
      <c r="J8" s="13"/>
      <c r="K8" s="13"/>
      <c r="L8" s="13"/>
      <c r="M8" s="13"/>
      <c r="N8" s="13"/>
      <c r="O8" s="14" t="s">
        <v>795</v>
      </c>
      <c r="P8" s="13"/>
      <c r="Q8" s="13"/>
      <c r="R8" s="13"/>
      <c r="S8" s="13"/>
      <c r="T8" s="13"/>
      <c r="U8" s="13"/>
      <c r="V8" s="13"/>
      <c r="W8" s="13"/>
      <c r="X8" s="13"/>
      <c r="Y8" s="13"/>
      <c r="Z8" s="13"/>
      <c r="AA8" s="13"/>
      <c r="AB8" s="13"/>
      <c r="AC8" s="13"/>
      <c r="AD8" s="13"/>
      <c r="AE8" s="13"/>
      <c r="AF8" s="13"/>
      <c r="AG8" s="13"/>
      <c r="AH8" s="13"/>
      <c r="AI8" s="13"/>
      <c r="AJ8" s="13"/>
      <c r="AK8" s="13"/>
      <c r="AL8" s="15" t="n">
        <f aca="false">COUNTIF(C8:AK8,"x")</f>
        <v>1</v>
      </c>
    </row>
    <row r="9" customFormat="false" ht="15" hidden="false" customHeight="false" outlineLevel="0" collapsed="false">
      <c r="A9" s="12" t="s">
        <v>801</v>
      </c>
      <c r="B9" s="12" t="s">
        <v>243</v>
      </c>
      <c r="C9" s="13"/>
      <c r="D9" s="13"/>
      <c r="E9" s="13"/>
      <c r="F9" s="13"/>
      <c r="G9" s="13"/>
      <c r="H9" s="13"/>
      <c r="I9" s="13"/>
      <c r="J9" s="13"/>
      <c r="K9" s="13"/>
      <c r="L9" s="14" t="s">
        <v>795</v>
      </c>
      <c r="M9" s="13"/>
      <c r="N9" s="13"/>
      <c r="O9" s="13"/>
      <c r="P9" s="13"/>
      <c r="Q9" s="13"/>
      <c r="R9" s="13"/>
      <c r="S9" s="13"/>
      <c r="T9" s="13"/>
      <c r="U9" s="13"/>
      <c r="V9" s="13"/>
      <c r="W9" s="13"/>
      <c r="X9" s="13"/>
      <c r="Y9" s="13"/>
      <c r="Z9" s="13"/>
      <c r="AA9" s="13"/>
      <c r="AB9" s="13"/>
      <c r="AC9" s="13"/>
      <c r="AD9" s="13"/>
      <c r="AE9" s="13"/>
      <c r="AF9" s="13"/>
      <c r="AG9" s="13"/>
      <c r="AH9" s="13"/>
      <c r="AI9" s="13"/>
      <c r="AJ9" s="13"/>
      <c r="AK9" s="13"/>
      <c r="AL9" s="15" t="n">
        <f aca="false">COUNTIF(C9:AK9,"x")</f>
        <v>1</v>
      </c>
    </row>
    <row r="10" customFormat="false" ht="15" hidden="false" customHeight="false" outlineLevel="0" collapsed="false">
      <c r="A10" s="12" t="s">
        <v>802</v>
      </c>
      <c r="B10" s="12" t="s">
        <v>249</v>
      </c>
      <c r="C10" s="13"/>
      <c r="D10" s="13"/>
      <c r="E10" s="13"/>
      <c r="F10" s="13"/>
      <c r="G10" s="13"/>
      <c r="H10" s="13"/>
      <c r="I10" s="13"/>
      <c r="J10" s="13"/>
      <c r="K10" s="13"/>
      <c r="L10" s="14" t="s">
        <v>795</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5" t="n">
        <f aca="false">COUNTIF(C10:AK10,"x")</f>
        <v>1</v>
      </c>
    </row>
    <row r="11" customFormat="false" ht="15" hidden="false" customHeight="false" outlineLevel="0" collapsed="false">
      <c r="A11" s="12" t="s">
        <v>803</v>
      </c>
      <c r="B11" s="12" t="s">
        <v>255</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4" t="s">
        <v>795</v>
      </c>
      <c r="AF11" s="13"/>
      <c r="AG11" s="13"/>
      <c r="AH11" s="13"/>
      <c r="AI11" s="13"/>
      <c r="AJ11" s="13"/>
      <c r="AK11" s="13"/>
      <c r="AL11" s="15" t="n">
        <f aca="false">COUNTIF(C11:AK11,"x")</f>
        <v>1</v>
      </c>
    </row>
    <row r="12" customFormat="false" ht="15" hidden="false" customHeight="false" outlineLevel="0" collapsed="false">
      <c r="A12" s="12" t="s">
        <v>804</v>
      </c>
      <c r="B12" s="12" t="s">
        <v>260</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4" t="s">
        <v>795</v>
      </c>
      <c r="AF12" s="13"/>
      <c r="AG12" s="13"/>
      <c r="AH12" s="13"/>
      <c r="AI12" s="13"/>
      <c r="AJ12" s="13"/>
      <c r="AK12" s="13"/>
      <c r="AL12" s="15" t="n">
        <f aca="false">COUNTIF(C12:AK12,"x")</f>
        <v>1</v>
      </c>
    </row>
    <row r="13" customFormat="false" ht="15" hidden="false" customHeight="false" outlineLevel="0" collapsed="false">
      <c r="A13" s="12" t="s">
        <v>805</v>
      </c>
      <c r="B13" s="12" t="s">
        <v>267</v>
      </c>
      <c r="C13" s="13"/>
      <c r="D13" s="13"/>
      <c r="E13" s="13"/>
      <c r="F13" s="13"/>
      <c r="G13" s="13"/>
      <c r="H13" s="13"/>
      <c r="I13" s="13"/>
      <c r="J13" s="13"/>
      <c r="K13" s="13"/>
      <c r="L13" s="13"/>
      <c r="M13" s="13"/>
      <c r="N13" s="13"/>
      <c r="O13" s="13"/>
      <c r="P13" s="13"/>
      <c r="Q13" s="13"/>
      <c r="R13" s="13"/>
      <c r="S13" s="14" t="s">
        <v>795</v>
      </c>
      <c r="T13" s="13"/>
      <c r="U13" s="13"/>
      <c r="V13" s="13"/>
      <c r="W13" s="13"/>
      <c r="X13" s="14" t="s">
        <v>795</v>
      </c>
      <c r="Y13" s="13"/>
      <c r="Z13" s="13"/>
      <c r="AA13" s="13"/>
      <c r="AB13" s="13"/>
      <c r="AC13" s="13"/>
      <c r="AD13" s="13"/>
      <c r="AE13" s="13"/>
      <c r="AF13" s="13"/>
      <c r="AG13" s="13"/>
      <c r="AH13" s="13"/>
      <c r="AI13" s="13"/>
      <c r="AJ13" s="13"/>
      <c r="AK13" s="13"/>
      <c r="AL13" s="15" t="n">
        <f aca="false">COUNTIF(C13:AK13,"x")</f>
        <v>2</v>
      </c>
    </row>
    <row r="14" customFormat="false" ht="15" hidden="false" customHeight="false" outlineLevel="0" collapsed="false">
      <c r="A14" s="12" t="s">
        <v>806</v>
      </c>
      <c r="B14" s="12" t="s">
        <v>274</v>
      </c>
      <c r="C14" s="13"/>
      <c r="D14" s="13"/>
      <c r="E14" s="13"/>
      <c r="F14" s="13"/>
      <c r="G14" s="13"/>
      <c r="H14" s="13"/>
      <c r="I14" s="13"/>
      <c r="J14" s="13"/>
      <c r="K14" s="13"/>
      <c r="L14" s="13"/>
      <c r="M14" s="13"/>
      <c r="N14" s="13"/>
      <c r="O14" s="13"/>
      <c r="P14" s="13"/>
      <c r="Q14" s="13"/>
      <c r="R14" s="13"/>
      <c r="S14" s="13"/>
      <c r="T14" s="13"/>
      <c r="U14" s="13"/>
      <c r="V14" s="13"/>
      <c r="W14" s="13"/>
      <c r="X14" s="14" t="s">
        <v>795</v>
      </c>
      <c r="Y14" s="14" t="s">
        <v>795</v>
      </c>
      <c r="Z14" s="13"/>
      <c r="AA14" s="13"/>
      <c r="AB14" s="13"/>
      <c r="AC14" s="13"/>
      <c r="AD14" s="13"/>
      <c r="AE14" s="13"/>
      <c r="AF14" s="13"/>
      <c r="AG14" s="13"/>
      <c r="AH14" s="13"/>
      <c r="AI14" s="13"/>
      <c r="AJ14" s="13"/>
      <c r="AK14" s="13"/>
      <c r="AL14" s="15" t="n">
        <f aca="false">COUNTIF(C14:AK14,"x")</f>
        <v>2</v>
      </c>
    </row>
    <row r="15" customFormat="false" ht="15" hidden="false" customHeight="false" outlineLevel="0" collapsed="false">
      <c r="A15" s="12" t="s">
        <v>807</v>
      </c>
      <c r="B15" s="12" t="s">
        <v>280</v>
      </c>
      <c r="C15" s="13"/>
      <c r="D15" s="13"/>
      <c r="E15" s="13"/>
      <c r="F15" s="13"/>
      <c r="G15" s="13"/>
      <c r="H15" s="13"/>
      <c r="I15" s="14" t="s">
        <v>795</v>
      </c>
      <c r="J15" s="13"/>
      <c r="K15" s="13"/>
      <c r="L15" s="13"/>
      <c r="M15" s="13"/>
      <c r="N15" s="13"/>
      <c r="O15" s="13"/>
      <c r="P15" s="14" t="s">
        <v>795</v>
      </c>
      <c r="Q15" s="13"/>
      <c r="R15" s="13"/>
      <c r="S15" s="13"/>
      <c r="T15" s="13"/>
      <c r="U15" s="13"/>
      <c r="V15" s="13"/>
      <c r="W15" s="13"/>
      <c r="X15" s="13"/>
      <c r="Y15" s="13"/>
      <c r="Z15" s="13"/>
      <c r="AA15" s="13"/>
      <c r="AB15" s="13"/>
      <c r="AC15" s="13"/>
      <c r="AD15" s="13"/>
      <c r="AE15" s="13"/>
      <c r="AF15" s="13"/>
      <c r="AG15" s="13"/>
      <c r="AH15" s="13"/>
      <c r="AI15" s="13"/>
      <c r="AJ15" s="13"/>
      <c r="AK15" s="13"/>
      <c r="AL15" s="15" t="n">
        <f aca="false">COUNTIF(C15:AK15,"x")</f>
        <v>2</v>
      </c>
    </row>
    <row r="16" customFormat="false" ht="15" hidden="false" customHeight="false" outlineLevel="0" collapsed="false">
      <c r="A16" s="12" t="s">
        <v>807</v>
      </c>
      <c r="B16" s="12" t="s">
        <v>287</v>
      </c>
      <c r="C16" s="13"/>
      <c r="D16" s="13"/>
      <c r="E16" s="13"/>
      <c r="F16" s="13"/>
      <c r="G16" s="13"/>
      <c r="H16" s="13"/>
      <c r="I16" s="13"/>
      <c r="J16" s="13"/>
      <c r="K16" s="13"/>
      <c r="L16" s="13"/>
      <c r="M16" s="13"/>
      <c r="N16" s="13"/>
      <c r="O16" s="13"/>
      <c r="P16" s="14" t="s">
        <v>795</v>
      </c>
      <c r="Q16" s="13"/>
      <c r="R16" s="13"/>
      <c r="S16" s="13"/>
      <c r="T16" s="13"/>
      <c r="U16" s="13"/>
      <c r="V16" s="13"/>
      <c r="W16" s="13"/>
      <c r="X16" s="13"/>
      <c r="Y16" s="13"/>
      <c r="Z16" s="13"/>
      <c r="AA16" s="13"/>
      <c r="AB16" s="13"/>
      <c r="AC16" s="13"/>
      <c r="AD16" s="13"/>
      <c r="AE16" s="13"/>
      <c r="AF16" s="13"/>
      <c r="AG16" s="13"/>
      <c r="AH16" s="13"/>
      <c r="AI16" s="13"/>
      <c r="AJ16" s="13"/>
      <c r="AK16" s="13"/>
      <c r="AL16" s="15" t="n">
        <f aca="false">COUNTIF(C16:AK16,"x")</f>
        <v>1</v>
      </c>
    </row>
    <row r="17" customFormat="false" ht="15" hidden="false" customHeight="false" outlineLevel="0" collapsed="false">
      <c r="A17" s="12" t="s">
        <v>808</v>
      </c>
      <c r="B17" s="12" t="s">
        <v>293</v>
      </c>
      <c r="C17" s="14" t="s">
        <v>795</v>
      </c>
      <c r="D17" s="13"/>
      <c r="E17" s="13"/>
      <c r="F17" s="13"/>
      <c r="G17" s="13"/>
      <c r="H17" s="13"/>
      <c r="I17" s="13"/>
      <c r="J17" s="13"/>
      <c r="K17" s="13"/>
      <c r="L17" s="13"/>
      <c r="M17" s="13"/>
      <c r="N17" s="13"/>
      <c r="O17" s="13"/>
      <c r="P17" s="13"/>
      <c r="Q17" s="13"/>
      <c r="R17" s="14" t="s">
        <v>795</v>
      </c>
      <c r="S17" s="13"/>
      <c r="T17" s="13"/>
      <c r="U17" s="13"/>
      <c r="V17" s="13"/>
      <c r="W17" s="13"/>
      <c r="X17" s="13"/>
      <c r="Y17" s="13"/>
      <c r="Z17" s="13"/>
      <c r="AA17" s="13"/>
      <c r="AB17" s="13"/>
      <c r="AC17" s="13"/>
      <c r="AD17" s="13"/>
      <c r="AE17" s="13"/>
      <c r="AF17" s="13"/>
      <c r="AG17" s="13"/>
      <c r="AH17" s="13"/>
      <c r="AI17" s="13"/>
      <c r="AJ17" s="13"/>
      <c r="AK17" s="13"/>
      <c r="AL17" s="15" t="n">
        <f aca="false">COUNTIF(C17:AK17,"x")</f>
        <v>2</v>
      </c>
    </row>
    <row r="18" customFormat="false" ht="15" hidden="false" customHeight="false" outlineLevel="0" collapsed="false">
      <c r="A18" s="12" t="s">
        <v>809</v>
      </c>
      <c r="B18" s="12" t="s">
        <v>300</v>
      </c>
      <c r="C18" s="13"/>
      <c r="D18" s="13"/>
      <c r="E18" s="13"/>
      <c r="F18" s="13"/>
      <c r="G18" s="13"/>
      <c r="H18" s="13"/>
      <c r="I18" s="13"/>
      <c r="J18" s="13"/>
      <c r="K18" s="13"/>
      <c r="L18" s="13"/>
      <c r="M18" s="13"/>
      <c r="N18" s="13"/>
      <c r="O18" s="13"/>
      <c r="P18" s="13"/>
      <c r="Q18" s="13"/>
      <c r="R18" s="13"/>
      <c r="S18" s="13"/>
      <c r="T18" s="13"/>
      <c r="U18" s="13"/>
      <c r="V18" s="13"/>
      <c r="W18" s="13"/>
      <c r="X18" s="13"/>
      <c r="Y18" s="13"/>
      <c r="Z18" s="14" t="s">
        <v>795</v>
      </c>
      <c r="AA18" s="13"/>
      <c r="AB18" s="13"/>
      <c r="AC18" s="13"/>
      <c r="AD18" s="13"/>
      <c r="AE18" s="13"/>
      <c r="AF18" s="13"/>
      <c r="AG18" s="13"/>
      <c r="AH18" s="13"/>
      <c r="AI18" s="13"/>
      <c r="AJ18" s="13"/>
      <c r="AK18" s="13"/>
      <c r="AL18" s="15" t="n">
        <f aca="false">COUNTIF(C18:AK18,"x")</f>
        <v>1</v>
      </c>
    </row>
    <row r="19" customFormat="false" ht="15" hidden="false" customHeight="false" outlineLevel="0" collapsed="false">
      <c r="A19" s="12" t="s">
        <v>810</v>
      </c>
      <c r="B19" s="12" t="s">
        <v>306</v>
      </c>
      <c r="C19" s="13"/>
      <c r="D19" s="13"/>
      <c r="E19" s="13"/>
      <c r="F19" s="13"/>
      <c r="G19" s="13"/>
      <c r="H19" s="13"/>
      <c r="I19" s="13"/>
      <c r="J19" s="13"/>
      <c r="K19" s="13"/>
      <c r="L19" s="13"/>
      <c r="M19" s="13"/>
      <c r="N19" s="13"/>
      <c r="O19" s="13"/>
      <c r="P19" s="13"/>
      <c r="Q19" s="13"/>
      <c r="R19" s="13"/>
      <c r="S19" s="13"/>
      <c r="T19" s="13"/>
      <c r="U19" s="13"/>
      <c r="V19" s="14" t="s">
        <v>795</v>
      </c>
      <c r="W19" s="13"/>
      <c r="X19" s="13"/>
      <c r="Y19" s="13"/>
      <c r="Z19" s="13"/>
      <c r="AA19" s="13"/>
      <c r="AB19" s="13"/>
      <c r="AC19" s="13"/>
      <c r="AD19" s="13"/>
      <c r="AE19" s="13"/>
      <c r="AF19" s="13"/>
      <c r="AG19" s="13"/>
      <c r="AH19" s="13"/>
      <c r="AI19" s="14" t="s">
        <v>795</v>
      </c>
      <c r="AJ19" s="13"/>
      <c r="AK19" s="13"/>
      <c r="AL19" s="15" t="n">
        <f aca="false">COUNTIF(C19:AK19,"x")</f>
        <v>2</v>
      </c>
    </row>
    <row r="20" customFormat="false" ht="15" hidden="false" customHeight="false" outlineLevel="0" collapsed="false">
      <c r="A20" s="12" t="s">
        <v>811</v>
      </c>
      <c r="B20" s="12" t="s">
        <v>312</v>
      </c>
      <c r="C20" s="13"/>
      <c r="D20" s="13"/>
      <c r="E20" s="13"/>
      <c r="F20" s="13"/>
      <c r="G20" s="13"/>
      <c r="H20" s="13"/>
      <c r="I20" s="13"/>
      <c r="J20" s="13"/>
      <c r="K20" s="13"/>
      <c r="L20" s="13"/>
      <c r="M20" s="13"/>
      <c r="N20" s="13"/>
      <c r="O20" s="13"/>
      <c r="P20" s="13"/>
      <c r="Q20" s="13"/>
      <c r="R20" s="13"/>
      <c r="S20" s="13"/>
      <c r="T20" s="13"/>
      <c r="U20" s="13"/>
      <c r="V20" s="14" t="s">
        <v>795</v>
      </c>
      <c r="W20" s="13"/>
      <c r="X20" s="13"/>
      <c r="Y20" s="13"/>
      <c r="Z20" s="13"/>
      <c r="AA20" s="13"/>
      <c r="AB20" s="13"/>
      <c r="AC20" s="13"/>
      <c r="AD20" s="13"/>
      <c r="AE20" s="13"/>
      <c r="AF20" s="13"/>
      <c r="AG20" s="13"/>
      <c r="AH20" s="13"/>
      <c r="AI20" s="13"/>
      <c r="AJ20" s="13"/>
      <c r="AK20" s="13"/>
      <c r="AL20" s="15" t="n">
        <f aca="false">COUNTIF(C20:AK20,"x")</f>
        <v>1</v>
      </c>
    </row>
    <row r="21" customFormat="false" ht="15" hidden="false" customHeight="false" outlineLevel="0" collapsed="false">
      <c r="A21" s="12" t="s">
        <v>812</v>
      </c>
      <c r="B21" s="12" t="s">
        <v>318</v>
      </c>
      <c r="C21" s="13"/>
      <c r="D21" s="13"/>
      <c r="E21" s="13"/>
      <c r="F21" s="13"/>
      <c r="G21" s="13"/>
      <c r="H21" s="13"/>
      <c r="I21" s="13"/>
      <c r="J21" s="13"/>
      <c r="K21" s="13"/>
      <c r="L21" s="14" t="s">
        <v>795</v>
      </c>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5" t="n">
        <f aca="false">COUNTIF(C21:AK21,"x")</f>
        <v>1</v>
      </c>
    </row>
    <row r="22" customFormat="false" ht="15" hidden="false" customHeight="false" outlineLevel="0" collapsed="false">
      <c r="A22" s="12" t="s">
        <v>813</v>
      </c>
      <c r="B22" s="12" t="s">
        <v>324</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4" t="s">
        <v>795</v>
      </c>
      <c r="AE22" s="13"/>
      <c r="AF22" s="13"/>
      <c r="AG22" s="13"/>
      <c r="AH22" s="13"/>
      <c r="AI22" s="13"/>
      <c r="AJ22" s="13"/>
      <c r="AK22" s="13"/>
      <c r="AL22" s="15" t="n">
        <f aca="false">COUNTIF(C22:AK22,"x")</f>
        <v>1</v>
      </c>
    </row>
    <row r="23" customFormat="false" ht="15" hidden="false" customHeight="false" outlineLevel="0" collapsed="false">
      <c r="A23" s="12" t="s">
        <v>814</v>
      </c>
      <c r="B23" s="12" t="s">
        <v>331</v>
      </c>
      <c r="C23" s="13"/>
      <c r="D23" s="13"/>
      <c r="E23" s="13"/>
      <c r="F23" s="13"/>
      <c r="G23" s="13"/>
      <c r="H23" s="13"/>
      <c r="I23" s="13"/>
      <c r="J23" s="13"/>
      <c r="K23" s="13"/>
      <c r="L23" s="13"/>
      <c r="M23" s="14" t="s">
        <v>795</v>
      </c>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5" t="n">
        <f aca="false">COUNTIF(C23:AK23,"x")</f>
        <v>1</v>
      </c>
    </row>
    <row r="24" customFormat="false" ht="15" hidden="false" customHeight="false" outlineLevel="0" collapsed="false">
      <c r="A24" s="12" t="s">
        <v>815</v>
      </c>
      <c r="B24" s="12" t="s">
        <v>337</v>
      </c>
      <c r="C24" s="13"/>
      <c r="D24" s="13"/>
      <c r="E24" s="14" t="s">
        <v>795</v>
      </c>
      <c r="F24" s="13"/>
      <c r="G24" s="13"/>
      <c r="H24" s="13"/>
      <c r="I24" s="14" t="s">
        <v>795</v>
      </c>
      <c r="J24" s="13"/>
      <c r="K24" s="13"/>
      <c r="L24" s="13"/>
      <c r="M24" s="13"/>
      <c r="N24" s="13"/>
      <c r="O24" s="13"/>
      <c r="P24" s="14" t="s">
        <v>795</v>
      </c>
      <c r="Q24" s="13"/>
      <c r="R24" s="13"/>
      <c r="S24" s="13"/>
      <c r="T24" s="13"/>
      <c r="U24" s="13"/>
      <c r="V24" s="13"/>
      <c r="W24" s="13"/>
      <c r="X24" s="13"/>
      <c r="Y24" s="13"/>
      <c r="Z24" s="13"/>
      <c r="AA24" s="13"/>
      <c r="AB24" s="13"/>
      <c r="AC24" s="13"/>
      <c r="AD24" s="13"/>
      <c r="AE24" s="13"/>
      <c r="AF24" s="13"/>
      <c r="AG24" s="13"/>
      <c r="AH24" s="13"/>
      <c r="AI24" s="13"/>
      <c r="AJ24" s="13"/>
      <c r="AK24" s="13"/>
      <c r="AL24" s="15" t="n">
        <f aca="false">COUNTIF(C24:AK24,"x")</f>
        <v>3</v>
      </c>
    </row>
    <row r="25" customFormat="false" ht="15" hidden="false" customHeight="false" outlineLevel="0" collapsed="false">
      <c r="A25" s="12" t="s">
        <v>816</v>
      </c>
      <c r="B25" s="12" t="s">
        <v>343</v>
      </c>
      <c r="C25" s="13"/>
      <c r="D25" s="13"/>
      <c r="E25" s="13"/>
      <c r="F25" s="13"/>
      <c r="G25" s="13"/>
      <c r="H25" s="13"/>
      <c r="I25" s="13"/>
      <c r="J25" s="13"/>
      <c r="K25" s="13"/>
      <c r="L25" s="13"/>
      <c r="M25" s="13"/>
      <c r="N25" s="13"/>
      <c r="O25" s="13"/>
      <c r="P25" s="13"/>
      <c r="Q25" s="14" t="s">
        <v>795</v>
      </c>
      <c r="R25" s="13"/>
      <c r="S25" s="13"/>
      <c r="T25" s="13"/>
      <c r="U25" s="13"/>
      <c r="V25" s="13"/>
      <c r="W25" s="13"/>
      <c r="X25" s="13"/>
      <c r="Y25" s="13"/>
      <c r="Z25" s="13"/>
      <c r="AA25" s="13"/>
      <c r="AB25" s="13"/>
      <c r="AC25" s="13"/>
      <c r="AD25" s="13"/>
      <c r="AE25" s="13"/>
      <c r="AF25" s="13"/>
      <c r="AG25" s="13"/>
      <c r="AH25" s="13"/>
      <c r="AI25" s="13"/>
      <c r="AJ25" s="13"/>
      <c r="AK25" s="13"/>
      <c r="AL25" s="15" t="n">
        <f aca="false">COUNTIF(C25:AK25,"x")</f>
        <v>1</v>
      </c>
    </row>
    <row r="26" customFormat="false" ht="15" hidden="false" customHeight="false" outlineLevel="0" collapsed="false">
      <c r="A26" s="12" t="s">
        <v>817</v>
      </c>
      <c r="B26" s="12" t="s">
        <v>348</v>
      </c>
      <c r="C26" s="13"/>
      <c r="D26" s="13"/>
      <c r="E26" s="13"/>
      <c r="F26" s="13"/>
      <c r="G26" s="13"/>
      <c r="H26" s="13"/>
      <c r="I26" s="13"/>
      <c r="J26" s="13"/>
      <c r="K26" s="13"/>
      <c r="L26" s="13"/>
      <c r="M26" s="13"/>
      <c r="N26" s="13"/>
      <c r="O26" s="13"/>
      <c r="P26" s="13"/>
      <c r="Q26" s="13"/>
      <c r="R26" s="13"/>
      <c r="S26" s="13"/>
      <c r="T26" s="13"/>
      <c r="U26" s="13"/>
      <c r="V26" s="14" t="s">
        <v>795</v>
      </c>
      <c r="W26" s="13"/>
      <c r="X26" s="13"/>
      <c r="Y26" s="13"/>
      <c r="Z26" s="13"/>
      <c r="AA26" s="13"/>
      <c r="AB26" s="13"/>
      <c r="AC26" s="13"/>
      <c r="AD26" s="13"/>
      <c r="AE26" s="13"/>
      <c r="AF26" s="13"/>
      <c r="AG26" s="13"/>
      <c r="AH26" s="13"/>
      <c r="AI26" s="14" t="s">
        <v>795</v>
      </c>
      <c r="AJ26" s="13"/>
      <c r="AK26" s="13"/>
      <c r="AL26" s="15" t="n">
        <f aca="false">COUNTIF(C26:AK26,"x")</f>
        <v>2</v>
      </c>
    </row>
    <row r="27" customFormat="false" ht="15" hidden="false" customHeight="false" outlineLevel="0" collapsed="false">
      <c r="A27" s="12" t="s">
        <v>818</v>
      </c>
      <c r="B27" s="12" t="s">
        <v>355</v>
      </c>
      <c r="C27" s="13"/>
      <c r="D27" s="13"/>
      <c r="E27" s="13"/>
      <c r="F27" s="13"/>
      <c r="G27" s="13"/>
      <c r="H27" s="13"/>
      <c r="I27" s="13"/>
      <c r="J27" s="13"/>
      <c r="K27" s="13"/>
      <c r="L27" s="13"/>
      <c r="M27" s="13"/>
      <c r="N27" s="13"/>
      <c r="O27" s="13"/>
      <c r="P27" s="13"/>
      <c r="Q27" s="13"/>
      <c r="R27" s="13"/>
      <c r="S27" s="13"/>
      <c r="T27" s="13"/>
      <c r="U27" s="14" t="s">
        <v>795</v>
      </c>
      <c r="V27" s="13"/>
      <c r="W27" s="14" t="s">
        <v>795</v>
      </c>
      <c r="X27" s="13"/>
      <c r="Y27" s="13"/>
      <c r="Z27" s="13"/>
      <c r="AA27" s="13"/>
      <c r="AB27" s="13"/>
      <c r="AC27" s="13"/>
      <c r="AD27" s="13"/>
      <c r="AE27" s="13"/>
      <c r="AF27" s="13"/>
      <c r="AG27" s="13"/>
      <c r="AH27" s="13"/>
      <c r="AI27" s="13"/>
      <c r="AJ27" s="13"/>
      <c r="AK27" s="13"/>
      <c r="AL27" s="15" t="n">
        <f aca="false">COUNTIF(C27:AK27,"x")</f>
        <v>2</v>
      </c>
    </row>
    <row r="28" customFormat="false" ht="15" hidden="false" customHeight="false" outlineLevel="0" collapsed="false">
      <c r="A28" s="12" t="s">
        <v>819</v>
      </c>
      <c r="B28" s="12" t="s">
        <v>362</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4" t="s">
        <v>795</v>
      </c>
      <c r="AE28" s="14" t="s">
        <v>795</v>
      </c>
      <c r="AF28" s="13"/>
      <c r="AG28" s="13"/>
      <c r="AH28" s="13"/>
      <c r="AI28" s="13"/>
      <c r="AJ28" s="13"/>
      <c r="AK28" s="13"/>
      <c r="AL28" s="15" t="n">
        <f aca="false">COUNTIF(C28:AK28,"x")</f>
        <v>2</v>
      </c>
    </row>
    <row r="29" customFormat="false" ht="15" hidden="false" customHeight="false" outlineLevel="0" collapsed="false">
      <c r="A29" s="12" t="s">
        <v>820</v>
      </c>
      <c r="B29" s="12" t="s">
        <v>368</v>
      </c>
      <c r="C29" s="13"/>
      <c r="D29" s="13"/>
      <c r="E29" s="13"/>
      <c r="F29" s="13"/>
      <c r="G29" s="13"/>
      <c r="H29" s="13"/>
      <c r="I29" s="13"/>
      <c r="J29" s="13"/>
      <c r="K29" s="13"/>
      <c r="L29" s="13"/>
      <c r="M29" s="13"/>
      <c r="N29" s="13"/>
      <c r="O29" s="13"/>
      <c r="P29" s="13"/>
      <c r="Q29" s="13"/>
      <c r="R29" s="13"/>
      <c r="S29" s="13"/>
      <c r="T29" s="14" t="s">
        <v>795</v>
      </c>
      <c r="U29" s="14" t="s">
        <v>795</v>
      </c>
      <c r="V29" s="13"/>
      <c r="W29" s="13"/>
      <c r="X29" s="13"/>
      <c r="Y29" s="13"/>
      <c r="Z29" s="13"/>
      <c r="AA29" s="13"/>
      <c r="AB29" s="13"/>
      <c r="AC29" s="13"/>
      <c r="AD29" s="13"/>
      <c r="AE29" s="13"/>
      <c r="AF29" s="13"/>
      <c r="AG29" s="13"/>
      <c r="AH29" s="13"/>
      <c r="AI29" s="13"/>
      <c r="AJ29" s="13"/>
      <c r="AK29" s="13"/>
      <c r="AL29" s="15" t="n">
        <f aca="false">COUNTIF(C29:AK29,"x")</f>
        <v>2</v>
      </c>
    </row>
    <row r="30" customFormat="false" ht="15" hidden="false" customHeight="false" outlineLevel="0" collapsed="false">
      <c r="A30" s="12" t="s">
        <v>821</v>
      </c>
      <c r="B30" s="12" t="s">
        <v>374</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4" t="s">
        <v>795</v>
      </c>
      <c r="AK30" s="13"/>
      <c r="AL30" s="15" t="n">
        <f aca="false">COUNTIF(C30:AK30,"x")</f>
        <v>1</v>
      </c>
    </row>
    <row r="31" customFormat="false" ht="15" hidden="false" customHeight="false" outlineLevel="0" collapsed="false">
      <c r="A31" s="12" t="s">
        <v>822</v>
      </c>
      <c r="B31" s="12" t="s">
        <v>381</v>
      </c>
      <c r="C31" s="14" t="s">
        <v>795</v>
      </c>
      <c r="D31" s="14" t="s">
        <v>795</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5" t="n">
        <f aca="false">COUNTIF(C31:AK31,"x")</f>
        <v>2</v>
      </c>
    </row>
    <row r="32" customFormat="false" ht="15" hidden="false" customHeight="false" outlineLevel="0" collapsed="false">
      <c r="A32" s="12" t="s">
        <v>823</v>
      </c>
      <c r="B32" s="12" t="s">
        <v>388</v>
      </c>
      <c r="C32" s="13"/>
      <c r="D32" s="13"/>
      <c r="E32" s="13"/>
      <c r="F32" s="14" t="s">
        <v>795</v>
      </c>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4" t="s">
        <v>795</v>
      </c>
      <c r="AH32" s="13"/>
      <c r="AI32" s="13"/>
      <c r="AJ32" s="13"/>
      <c r="AK32" s="13"/>
      <c r="AL32" s="15" t="n">
        <f aca="false">COUNTIF(C32:AK32,"x")</f>
        <v>2</v>
      </c>
    </row>
    <row r="33" customFormat="false" ht="15" hidden="false" customHeight="false" outlineLevel="0" collapsed="false">
      <c r="A33" s="12" t="s">
        <v>824</v>
      </c>
      <c r="B33" s="12" t="s">
        <v>394</v>
      </c>
      <c r="C33" s="13"/>
      <c r="D33" s="13"/>
      <c r="E33" s="13"/>
      <c r="F33" s="13"/>
      <c r="G33" s="13"/>
      <c r="H33" s="13"/>
      <c r="I33" s="13"/>
      <c r="J33" s="13"/>
      <c r="K33" s="13"/>
      <c r="L33" s="13"/>
      <c r="M33" s="13"/>
      <c r="N33" s="13"/>
      <c r="O33" s="13"/>
      <c r="P33" s="13"/>
      <c r="Q33" s="13"/>
      <c r="R33" s="13"/>
      <c r="S33" s="13"/>
      <c r="T33" s="13"/>
      <c r="U33" s="13"/>
      <c r="V33" s="13"/>
      <c r="W33" s="14" t="s">
        <v>795</v>
      </c>
      <c r="X33" s="13"/>
      <c r="Y33" s="14" t="s">
        <v>795</v>
      </c>
      <c r="Z33" s="13"/>
      <c r="AA33" s="13"/>
      <c r="AB33" s="13"/>
      <c r="AC33" s="13"/>
      <c r="AD33" s="13"/>
      <c r="AE33" s="13"/>
      <c r="AF33" s="13"/>
      <c r="AG33" s="13"/>
      <c r="AH33" s="13"/>
      <c r="AI33" s="13"/>
      <c r="AJ33" s="13"/>
      <c r="AK33" s="13"/>
      <c r="AL33" s="15" t="n">
        <f aca="false">COUNTIF(C33:AK33,"x")</f>
        <v>2</v>
      </c>
    </row>
    <row r="34" customFormat="false" ht="15" hidden="false" customHeight="false" outlineLevel="0" collapsed="false">
      <c r="A34" s="12" t="s">
        <v>825</v>
      </c>
      <c r="B34" s="12" t="s">
        <v>401</v>
      </c>
      <c r="C34" s="13"/>
      <c r="D34" s="13"/>
      <c r="E34" s="13"/>
      <c r="F34" s="13"/>
      <c r="G34" s="13"/>
      <c r="H34" s="13"/>
      <c r="I34" s="14" t="s">
        <v>795</v>
      </c>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5" t="n">
        <f aca="false">COUNTIF(C34:AK34,"x")</f>
        <v>1</v>
      </c>
    </row>
    <row r="35" customFormat="false" ht="15" hidden="false" customHeight="false" outlineLevel="0" collapsed="false">
      <c r="A35" s="12" t="s">
        <v>826</v>
      </c>
      <c r="B35" s="12" t="s">
        <v>407</v>
      </c>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4" t="s">
        <v>795</v>
      </c>
      <c r="AH35" s="13"/>
      <c r="AI35" s="13"/>
      <c r="AJ35" s="13"/>
      <c r="AK35" s="13"/>
      <c r="AL35" s="15" t="n">
        <f aca="false">COUNTIF(C35:AK35,"x")</f>
        <v>1</v>
      </c>
    </row>
    <row r="36" customFormat="false" ht="15" hidden="false" customHeight="false" outlineLevel="0" collapsed="false">
      <c r="A36" s="12" t="s">
        <v>827</v>
      </c>
      <c r="B36" s="12" t="s">
        <v>413</v>
      </c>
      <c r="C36" s="13"/>
      <c r="D36" s="13"/>
      <c r="E36" s="13"/>
      <c r="F36" s="13"/>
      <c r="G36" s="13"/>
      <c r="H36" s="13"/>
      <c r="I36" s="13"/>
      <c r="J36" s="13"/>
      <c r="K36" s="13"/>
      <c r="L36" s="13"/>
      <c r="M36" s="13"/>
      <c r="N36" s="13"/>
      <c r="O36" s="13"/>
      <c r="P36" s="14" t="s">
        <v>795</v>
      </c>
      <c r="Q36" s="13"/>
      <c r="R36" s="13"/>
      <c r="S36" s="13"/>
      <c r="T36" s="13"/>
      <c r="U36" s="13"/>
      <c r="V36" s="13"/>
      <c r="W36" s="13"/>
      <c r="X36" s="13"/>
      <c r="Y36" s="13"/>
      <c r="Z36" s="13"/>
      <c r="AA36" s="13"/>
      <c r="AB36" s="13"/>
      <c r="AC36" s="13"/>
      <c r="AD36" s="13"/>
      <c r="AE36" s="13"/>
      <c r="AF36" s="13"/>
      <c r="AG36" s="13"/>
      <c r="AH36" s="13"/>
      <c r="AI36" s="13"/>
      <c r="AJ36" s="13"/>
      <c r="AK36" s="13"/>
      <c r="AL36" s="15" t="n">
        <f aca="false">COUNTIF(C36:AK36,"x")</f>
        <v>1</v>
      </c>
    </row>
    <row r="37" customFormat="false" ht="15" hidden="false" customHeight="false" outlineLevel="0" collapsed="false">
      <c r="A37" s="12" t="s">
        <v>828</v>
      </c>
      <c r="B37" s="12" t="s">
        <v>419</v>
      </c>
      <c r="C37" s="13"/>
      <c r="D37" s="13"/>
      <c r="E37" s="13"/>
      <c r="F37" s="13"/>
      <c r="G37" s="13"/>
      <c r="H37" s="13"/>
      <c r="I37" s="13"/>
      <c r="J37" s="13"/>
      <c r="K37" s="13"/>
      <c r="L37" s="14" t="s">
        <v>795</v>
      </c>
      <c r="M37" s="13"/>
      <c r="N37" s="13"/>
      <c r="O37" s="13"/>
      <c r="P37" s="14" t="s">
        <v>795</v>
      </c>
      <c r="Q37" s="13"/>
      <c r="R37" s="13"/>
      <c r="S37" s="13"/>
      <c r="T37" s="13"/>
      <c r="U37" s="13"/>
      <c r="V37" s="13"/>
      <c r="W37" s="13"/>
      <c r="X37" s="13"/>
      <c r="Y37" s="13"/>
      <c r="Z37" s="13"/>
      <c r="AA37" s="13"/>
      <c r="AB37" s="13"/>
      <c r="AC37" s="13"/>
      <c r="AD37" s="13"/>
      <c r="AE37" s="13"/>
      <c r="AF37" s="13"/>
      <c r="AG37" s="13"/>
      <c r="AH37" s="13"/>
      <c r="AI37" s="13"/>
      <c r="AJ37" s="13"/>
      <c r="AK37" s="13"/>
      <c r="AL37" s="15" t="n">
        <f aca="false">COUNTIF(C37:AK37,"x")</f>
        <v>2</v>
      </c>
    </row>
    <row r="38" customFormat="false" ht="15" hidden="false" customHeight="false" outlineLevel="0" collapsed="false">
      <c r="A38" s="12" t="s">
        <v>829</v>
      </c>
      <c r="B38" s="12" t="s">
        <v>425</v>
      </c>
      <c r="C38" s="13"/>
      <c r="D38" s="13"/>
      <c r="E38" s="13"/>
      <c r="F38" s="13"/>
      <c r="G38" s="13"/>
      <c r="H38" s="13"/>
      <c r="I38" s="13"/>
      <c r="J38" s="13"/>
      <c r="K38" s="14" t="s">
        <v>795</v>
      </c>
      <c r="L38" s="13"/>
      <c r="M38" s="13"/>
      <c r="N38" s="14" t="s">
        <v>795</v>
      </c>
      <c r="O38" s="13"/>
      <c r="P38" s="13"/>
      <c r="Q38" s="14" t="s">
        <v>795</v>
      </c>
      <c r="R38" s="13"/>
      <c r="S38" s="13"/>
      <c r="T38" s="13"/>
      <c r="U38" s="13"/>
      <c r="V38" s="13"/>
      <c r="W38" s="13"/>
      <c r="X38" s="13"/>
      <c r="Y38" s="13"/>
      <c r="Z38" s="13"/>
      <c r="AA38" s="13"/>
      <c r="AB38" s="13"/>
      <c r="AC38" s="13"/>
      <c r="AD38" s="13"/>
      <c r="AE38" s="13"/>
      <c r="AF38" s="13"/>
      <c r="AG38" s="13"/>
      <c r="AH38" s="13"/>
      <c r="AI38" s="13"/>
      <c r="AJ38" s="13"/>
      <c r="AK38" s="13"/>
      <c r="AL38" s="15" t="n">
        <f aca="false">COUNTIF(C38:AK38,"x")</f>
        <v>3</v>
      </c>
    </row>
    <row r="39" customFormat="false" ht="15" hidden="false" customHeight="false" outlineLevel="0" collapsed="false">
      <c r="A39" s="12" t="s">
        <v>830</v>
      </c>
      <c r="B39" s="12" t="s">
        <v>431</v>
      </c>
      <c r="C39" s="13"/>
      <c r="D39" s="13"/>
      <c r="E39" s="14" t="s">
        <v>795</v>
      </c>
      <c r="F39" s="13"/>
      <c r="G39" s="13"/>
      <c r="H39" s="13"/>
      <c r="I39" s="13"/>
      <c r="J39" s="14" t="s">
        <v>795</v>
      </c>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5" t="n">
        <f aca="false">COUNTIF(C39:AK39,"x")</f>
        <v>2</v>
      </c>
    </row>
    <row r="40" customFormat="false" ht="15" hidden="false" customHeight="false" outlineLevel="0" collapsed="false">
      <c r="A40" s="12" t="s">
        <v>831</v>
      </c>
      <c r="B40" s="12" t="s">
        <v>437</v>
      </c>
      <c r="C40" s="13"/>
      <c r="D40" s="13"/>
      <c r="E40" s="13"/>
      <c r="F40" s="13"/>
      <c r="G40" s="13"/>
      <c r="H40" s="13"/>
      <c r="I40" s="13"/>
      <c r="J40" s="13"/>
      <c r="K40" s="13"/>
      <c r="L40" s="13"/>
      <c r="M40" s="14" t="s">
        <v>795</v>
      </c>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5" t="n">
        <f aca="false">COUNTIF(C40:AK40,"x")</f>
        <v>1</v>
      </c>
    </row>
    <row r="41" customFormat="false" ht="15" hidden="false" customHeight="false" outlineLevel="0" collapsed="false">
      <c r="A41" s="12" t="s">
        <v>832</v>
      </c>
      <c r="B41" s="12" t="s">
        <v>443</v>
      </c>
      <c r="C41" s="13"/>
      <c r="D41" s="14" t="s">
        <v>795</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4" t="s">
        <v>795</v>
      </c>
      <c r="AI41" s="13"/>
      <c r="AJ41" s="13"/>
      <c r="AK41" s="13"/>
      <c r="AL41" s="15" t="n">
        <f aca="false">COUNTIF(C41:AK41,"x")</f>
        <v>2</v>
      </c>
    </row>
    <row r="42" customFormat="false" ht="15" hidden="false" customHeight="false" outlineLevel="0" collapsed="false">
      <c r="A42" s="12" t="s">
        <v>833</v>
      </c>
      <c r="B42" s="12" t="s">
        <v>448</v>
      </c>
      <c r="C42" s="13"/>
      <c r="D42" s="14" t="s">
        <v>795</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4" t="s">
        <v>795</v>
      </c>
      <c r="AI42" s="13"/>
      <c r="AJ42" s="13"/>
      <c r="AK42" s="13"/>
      <c r="AL42" s="15" t="n">
        <f aca="false">COUNTIF(C42:AK42,"x")</f>
        <v>2</v>
      </c>
    </row>
    <row r="43" customFormat="false" ht="15" hidden="false" customHeight="false" outlineLevel="0" collapsed="false">
      <c r="A43" s="12" t="s">
        <v>834</v>
      </c>
      <c r="B43" s="12" t="s">
        <v>453</v>
      </c>
      <c r="C43" s="13"/>
      <c r="D43" s="13"/>
      <c r="E43" s="13"/>
      <c r="F43" s="13"/>
      <c r="G43" s="13"/>
      <c r="H43" s="13"/>
      <c r="I43" s="13"/>
      <c r="J43" s="13"/>
      <c r="K43" s="13"/>
      <c r="L43" s="13"/>
      <c r="M43" s="13"/>
      <c r="N43" s="13"/>
      <c r="O43" s="13"/>
      <c r="P43" s="13"/>
      <c r="Q43" s="13"/>
      <c r="R43" s="13"/>
      <c r="S43" s="13"/>
      <c r="T43" s="13"/>
      <c r="U43" s="13"/>
      <c r="V43" s="13"/>
      <c r="W43" s="13"/>
      <c r="X43" s="13"/>
      <c r="Y43" s="13"/>
      <c r="Z43" s="14" t="s">
        <v>795</v>
      </c>
      <c r="AA43" s="13"/>
      <c r="AB43" s="13"/>
      <c r="AC43" s="13"/>
      <c r="AD43" s="13"/>
      <c r="AE43" s="13"/>
      <c r="AF43" s="13"/>
      <c r="AG43" s="13"/>
      <c r="AH43" s="13"/>
      <c r="AI43" s="13"/>
      <c r="AJ43" s="13"/>
      <c r="AK43" s="13"/>
      <c r="AL43" s="15" t="n">
        <f aca="false">COUNTIF(C43:AK43,"x")</f>
        <v>1</v>
      </c>
    </row>
    <row r="44" customFormat="false" ht="15" hidden="false" customHeight="false" outlineLevel="0" collapsed="false">
      <c r="A44" s="12" t="s">
        <v>835</v>
      </c>
      <c r="B44" s="12" t="s">
        <v>459</v>
      </c>
      <c r="C44" s="13"/>
      <c r="D44" s="13"/>
      <c r="E44" s="13"/>
      <c r="F44" s="13"/>
      <c r="G44" s="13"/>
      <c r="H44" s="13"/>
      <c r="I44" s="13"/>
      <c r="J44" s="13"/>
      <c r="K44" s="13"/>
      <c r="L44" s="13"/>
      <c r="M44" s="13"/>
      <c r="N44" s="13"/>
      <c r="O44" s="13"/>
      <c r="P44" s="13"/>
      <c r="Q44" s="13"/>
      <c r="R44" s="13"/>
      <c r="S44" s="13"/>
      <c r="T44" s="13"/>
      <c r="U44" s="13"/>
      <c r="V44" s="13"/>
      <c r="W44" s="13"/>
      <c r="X44" s="14" t="s">
        <v>795</v>
      </c>
      <c r="Y44" s="13"/>
      <c r="Z44" s="14" t="s">
        <v>795</v>
      </c>
      <c r="AA44" s="13"/>
      <c r="AB44" s="13"/>
      <c r="AC44" s="13"/>
      <c r="AD44" s="13"/>
      <c r="AE44" s="13"/>
      <c r="AF44" s="13"/>
      <c r="AG44" s="13"/>
      <c r="AH44" s="13"/>
      <c r="AI44" s="13"/>
      <c r="AJ44" s="13"/>
      <c r="AK44" s="13"/>
      <c r="AL44" s="15" t="n">
        <f aca="false">COUNTIF(C44:AK44,"x")</f>
        <v>2</v>
      </c>
    </row>
    <row r="45" customFormat="false" ht="15" hidden="false" customHeight="false" outlineLevel="0" collapsed="false">
      <c r="A45" s="12" t="s">
        <v>836</v>
      </c>
      <c r="B45" s="12" t="s">
        <v>465</v>
      </c>
      <c r="C45" s="13"/>
      <c r="D45" s="13"/>
      <c r="E45" s="13"/>
      <c r="F45" s="13"/>
      <c r="G45" s="13"/>
      <c r="H45" s="13"/>
      <c r="I45" s="13"/>
      <c r="J45" s="13"/>
      <c r="K45" s="13"/>
      <c r="L45" s="13"/>
      <c r="M45" s="13"/>
      <c r="N45" s="13"/>
      <c r="O45" s="13"/>
      <c r="P45" s="13"/>
      <c r="Q45" s="13"/>
      <c r="R45" s="14" t="s">
        <v>795</v>
      </c>
      <c r="S45" s="13"/>
      <c r="T45" s="13"/>
      <c r="U45" s="13"/>
      <c r="V45" s="13"/>
      <c r="W45" s="13"/>
      <c r="X45" s="13"/>
      <c r="Y45" s="13"/>
      <c r="Z45" s="14" t="s">
        <v>795</v>
      </c>
      <c r="AA45" s="13"/>
      <c r="AB45" s="13"/>
      <c r="AC45" s="13"/>
      <c r="AD45" s="13"/>
      <c r="AE45" s="13"/>
      <c r="AF45" s="13"/>
      <c r="AG45" s="13"/>
      <c r="AH45" s="13"/>
      <c r="AI45" s="13"/>
      <c r="AJ45" s="13"/>
      <c r="AK45" s="13"/>
      <c r="AL45" s="15" t="n">
        <f aca="false">COUNTIF(C45:AK45,"x")</f>
        <v>2</v>
      </c>
    </row>
    <row r="46" customFormat="false" ht="15" hidden="false" customHeight="false" outlineLevel="0" collapsed="false">
      <c r="A46" s="12" t="s">
        <v>837</v>
      </c>
      <c r="B46" s="12" t="s">
        <v>471</v>
      </c>
      <c r="C46" s="13"/>
      <c r="D46" s="13"/>
      <c r="E46" s="13"/>
      <c r="F46" s="13"/>
      <c r="G46" s="13"/>
      <c r="H46" s="13"/>
      <c r="I46" s="13"/>
      <c r="J46" s="13"/>
      <c r="K46" s="13"/>
      <c r="L46" s="13"/>
      <c r="M46" s="13"/>
      <c r="N46" s="13"/>
      <c r="O46" s="14" t="s">
        <v>795</v>
      </c>
      <c r="P46" s="14" t="s">
        <v>795</v>
      </c>
      <c r="Q46" s="13"/>
      <c r="R46" s="13"/>
      <c r="S46" s="13"/>
      <c r="T46" s="13"/>
      <c r="U46" s="13"/>
      <c r="V46" s="13"/>
      <c r="W46" s="13"/>
      <c r="X46" s="13"/>
      <c r="Y46" s="13"/>
      <c r="Z46" s="13"/>
      <c r="AA46" s="13"/>
      <c r="AB46" s="13"/>
      <c r="AC46" s="13"/>
      <c r="AD46" s="13"/>
      <c r="AE46" s="13"/>
      <c r="AF46" s="13"/>
      <c r="AG46" s="13"/>
      <c r="AH46" s="13"/>
      <c r="AI46" s="13"/>
      <c r="AJ46" s="13"/>
      <c r="AK46" s="13"/>
      <c r="AL46" s="15" t="n">
        <f aca="false">COUNTIF(C46:AK46,"x")</f>
        <v>2</v>
      </c>
    </row>
    <row r="47" customFormat="false" ht="15" hidden="false" customHeight="false" outlineLevel="0" collapsed="false">
      <c r="A47" s="12" t="s">
        <v>838</v>
      </c>
      <c r="B47" s="12" t="s">
        <v>478</v>
      </c>
      <c r="C47" s="13"/>
      <c r="D47" s="13"/>
      <c r="E47" s="13"/>
      <c r="F47" s="13"/>
      <c r="G47" s="13"/>
      <c r="H47" s="13"/>
      <c r="I47" s="13"/>
      <c r="J47" s="13"/>
      <c r="K47" s="13"/>
      <c r="L47" s="13"/>
      <c r="M47" s="13"/>
      <c r="N47" s="13"/>
      <c r="O47" s="13"/>
      <c r="P47" s="13"/>
      <c r="Q47" s="13"/>
      <c r="R47" s="13"/>
      <c r="S47" s="13"/>
      <c r="T47" s="13"/>
      <c r="U47" s="13"/>
      <c r="V47" s="14" t="s">
        <v>795</v>
      </c>
      <c r="W47" s="13"/>
      <c r="X47" s="14" t="s">
        <v>795</v>
      </c>
      <c r="Y47" s="13"/>
      <c r="Z47" s="13"/>
      <c r="AA47" s="13"/>
      <c r="AB47" s="13"/>
      <c r="AC47" s="13"/>
      <c r="AD47" s="13"/>
      <c r="AE47" s="13"/>
      <c r="AF47" s="13"/>
      <c r="AG47" s="13"/>
      <c r="AH47" s="13"/>
      <c r="AI47" s="13"/>
      <c r="AJ47" s="13"/>
      <c r="AK47" s="13"/>
      <c r="AL47" s="15" t="n">
        <f aca="false">COUNTIF(C47:AK47,"x")</f>
        <v>2</v>
      </c>
    </row>
    <row r="48" customFormat="false" ht="15" hidden="false" customHeight="false" outlineLevel="0" collapsed="false">
      <c r="A48" s="12" t="s">
        <v>839</v>
      </c>
      <c r="B48" s="12" t="s">
        <v>484</v>
      </c>
      <c r="C48" s="13"/>
      <c r="D48" s="13"/>
      <c r="E48" s="13"/>
      <c r="F48" s="13"/>
      <c r="G48" s="13"/>
      <c r="H48" s="13"/>
      <c r="I48" s="13"/>
      <c r="J48" s="13"/>
      <c r="K48" s="13"/>
      <c r="L48" s="13"/>
      <c r="M48" s="13"/>
      <c r="N48" s="13"/>
      <c r="O48" s="13"/>
      <c r="P48" s="14" t="s">
        <v>795</v>
      </c>
      <c r="Q48" s="13"/>
      <c r="R48" s="13"/>
      <c r="S48" s="13"/>
      <c r="T48" s="13"/>
      <c r="U48" s="13"/>
      <c r="V48" s="13"/>
      <c r="W48" s="13"/>
      <c r="X48" s="13"/>
      <c r="Y48" s="13"/>
      <c r="Z48" s="13"/>
      <c r="AA48" s="13"/>
      <c r="AB48" s="13"/>
      <c r="AC48" s="13"/>
      <c r="AD48" s="13"/>
      <c r="AE48" s="13"/>
      <c r="AF48" s="13"/>
      <c r="AG48" s="13"/>
      <c r="AH48" s="14" t="s">
        <v>795</v>
      </c>
      <c r="AI48" s="13"/>
      <c r="AJ48" s="13"/>
      <c r="AK48" s="13"/>
      <c r="AL48" s="15" t="n">
        <f aca="false">COUNTIF(C48:AK48,"x")</f>
        <v>2</v>
      </c>
    </row>
    <row r="49" customFormat="false" ht="15" hidden="false" customHeight="false" outlineLevel="0" collapsed="false">
      <c r="A49" s="12" t="s">
        <v>840</v>
      </c>
      <c r="B49" s="12" t="s">
        <v>491</v>
      </c>
      <c r="C49" s="13"/>
      <c r="D49" s="13"/>
      <c r="E49" s="13"/>
      <c r="F49" s="13"/>
      <c r="G49" s="13"/>
      <c r="H49" s="13"/>
      <c r="I49" s="13"/>
      <c r="J49" s="13"/>
      <c r="K49" s="13"/>
      <c r="L49" s="13"/>
      <c r="M49" s="13"/>
      <c r="N49" s="13"/>
      <c r="O49" s="13"/>
      <c r="P49" s="13"/>
      <c r="Q49" s="13"/>
      <c r="R49" s="13"/>
      <c r="S49" s="13"/>
      <c r="T49" s="14" t="s">
        <v>795</v>
      </c>
      <c r="U49" s="13"/>
      <c r="V49" s="13"/>
      <c r="W49" s="13"/>
      <c r="X49" s="13"/>
      <c r="Y49" s="13"/>
      <c r="Z49" s="13"/>
      <c r="AA49" s="13"/>
      <c r="AB49" s="13"/>
      <c r="AC49" s="13"/>
      <c r="AD49" s="13"/>
      <c r="AE49" s="13"/>
      <c r="AF49" s="13"/>
      <c r="AG49" s="13"/>
      <c r="AH49" s="13"/>
      <c r="AI49" s="13"/>
      <c r="AJ49" s="13"/>
      <c r="AK49" s="13"/>
      <c r="AL49" s="15" t="n">
        <f aca="false">COUNTIF(C49:AK49,"x")</f>
        <v>1</v>
      </c>
    </row>
    <row r="50" customFormat="false" ht="15" hidden="false" customHeight="false" outlineLevel="0" collapsed="false">
      <c r="A50" s="12" t="s">
        <v>841</v>
      </c>
      <c r="B50" s="12" t="s">
        <v>497</v>
      </c>
      <c r="C50" s="13"/>
      <c r="D50" s="14" t="s">
        <v>795</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5" t="n">
        <f aca="false">COUNTIF(C50:AK50,"x")</f>
        <v>1</v>
      </c>
    </row>
    <row r="51" customFormat="false" ht="15" hidden="false" customHeight="false" outlineLevel="0" collapsed="false">
      <c r="A51" s="12" t="s">
        <v>842</v>
      </c>
      <c r="B51" s="12" t="s">
        <v>503</v>
      </c>
      <c r="C51" s="13"/>
      <c r="D51" s="13"/>
      <c r="E51" s="13"/>
      <c r="F51" s="13"/>
      <c r="G51" s="13"/>
      <c r="H51" s="13"/>
      <c r="I51" s="13"/>
      <c r="J51" s="13"/>
      <c r="K51" s="13"/>
      <c r="L51" s="13"/>
      <c r="M51" s="13"/>
      <c r="N51" s="13"/>
      <c r="O51" s="13"/>
      <c r="P51" s="13"/>
      <c r="Q51" s="13"/>
      <c r="R51" s="13"/>
      <c r="S51" s="13"/>
      <c r="T51" s="13"/>
      <c r="U51" s="13"/>
      <c r="V51" s="13"/>
      <c r="W51" s="13"/>
      <c r="X51" s="14" t="s">
        <v>795</v>
      </c>
      <c r="Y51" s="13"/>
      <c r="Z51" s="13"/>
      <c r="AA51" s="13"/>
      <c r="AB51" s="13"/>
      <c r="AC51" s="13"/>
      <c r="AD51" s="13"/>
      <c r="AE51" s="13"/>
      <c r="AF51" s="13"/>
      <c r="AG51" s="13"/>
      <c r="AH51" s="13"/>
      <c r="AI51" s="13"/>
      <c r="AJ51" s="13"/>
      <c r="AK51" s="13"/>
      <c r="AL51" s="15" t="n">
        <f aca="false">COUNTIF(C51:AK51,"x")</f>
        <v>1</v>
      </c>
    </row>
    <row r="52" customFormat="false" ht="15" hidden="false" customHeight="false" outlineLevel="0" collapsed="false">
      <c r="A52" s="12" t="s">
        <v>843</v>
      </c>
      <c r="B52" s="12" t="s">
        <v>509</v>
      </c>
      <c r="C52" s="13"/>
      <c r="D52" s="13"/>
      <c r="E52" s="13"/>
      <c r="F52" s="13"/>
      <c r="G52" s="13"/>
      <c r="H52" s="14" t="s">
        <v>795</v>
      </c>
      <c r="I52" s="13"/>
      <c r="J52" s="13"/>
      <c r="K52" s="13"/>
      <c r="L52" s="13"/>
      <c r="M52" s="13"/>
      <c r="N52" s="14" t="s">
        <v>795</v>
      </c>
      <c r="O52" s="13"/>
      <c r="P52" s="13"/>
      <c r="Q52" s="14" t="s">
        <v>795</v>
      </c>
      <c r="R52" s="13"/>
      <c r="S52" s="13"/>
      <c r="T52" s="13"/>
      <c r="U52" s="13"/>
      <c r="V52" s="13"/>
      <c r="W52" s="13"/>
      <c r="X52" s="13"/>
      <c r="Y52" s="13"/>
      <c r="Z52" s="13"/>
      <c r="AA52" s="13"/>
      <c r="AB52" s="13"/>
      <c r="AC52" s="13"/>
      <c r="AD52" s="13"/>
      <c r="AE52" s="13"/>
      <c r="AF52" s="13"/>
      <c r="AG52" s="13"/>
      <c r="AH52" s="13"/>
      <c r="AI52" s="13"/>
      <c r="AJ52" s="13"/>
      <c r="AK52" s="13"/>
      <c r="AL52" s="15" t="n">
        <f aca="false">COUNTIF(C52:AK52,"x")</f>
        <v>3</v>
      </c>
    </row>
    <row r="53" customFormat="false" ht="15" hidden="false" customHeight="false" outlineLevel="0" collapsed="false">
      <c r="A53" s="12" t="s">
        <v>843</v>
      </c>
      <c r="B53" s="12" t="s">
        <v>516</v>
      </c>
      <c r="C53" s="13"/>
      <c r="D53" s="13"/>
      <c r="E53" s="13"/>
      <c r="F53" s="13"/>
      <c r="G53" s="13"/>
      <c r="H53" s="14" t="s">
        <v>795</v>
      </c>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5" t="n">
        <f aca="false">COUNTIF(C53:AK53,"x")</f>
        <v>1</v>
      </c>
    </row>
    <row r="54" customFormat="false" ht="15" hidden="false" customHeight="false" outlineLevel="0" collapsed="false">
      <c r="A54" s="12" t="s">
        <v>844</v>
      </c>
      <c r="B54" s="12" t="s">
        <v>521</v>
      </c>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4" t="s">
        <v>795</v>
      </c>
      <c r="AE54" s="13"/>
      <c r="AF54" s="13"/>
      <c r="AG54" s="13"/>
      <c r="AH54" s="13"/>
      <c r="AI54" s="13"/>
      <c r="AJ54" s="13"/>
      <c r="AK54" s="13"/>
      <c r="AL54" s="15" t="n">
        <f aca="false">COUNTIF(C54:AK54,"x")</f>
        <v>1</v>
      </c>
    </row>
    <row r="55" customFormat="false" ht="15" hidden="false" customHeight="false" outlineLevel="0" collapsed="false">
      <c r="A55" s="12" t="s">
        <v>845</v>
      </c>
      <c r="B55" s="12" t="s">
        <v>527</v>
      </c>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4" t="s">
        <v>795</v>
      </c>
      <c r="AC55" s="13"/>
      <c r="AD55" s="13"/>
      <c r="AE55" s="13"/>
      <c r="AF55" s="13"/>
      <c r="AG55" s="13"/>
      <c r="AH55" s="13"/>
      <c r="AI55" s="13"/>
      <c r="AJ55" s="13"/>
      <c r="AK55" s="13"/>
      <c r="AL55" s="15" t="n">
        <f aca="false">COUNTIF(C55:AK55,"x")</f>
        <v>1</v>
      </c>
    </row>
    <row r="56" customFormat="false" ht="15" hidden="false" customHeight="false" outlineLevel="0" collapsed="false">
      <c r="A56" s="12" t="s">
        <v>846</v>
      </c>
      <c r="B56" s="12" t="s">
        <v>534</v>
      </c>
      <c r="C56" s="13"/>
      <c r="D56" s="13"/>
      <c r="E56" s="13"/>
      <c r="F56" s="13"/>
      <c r="G56" s="13"/>
      <c r="H56" s="13"/>
      <c r="I56" s="13"/>
      <c r="J56" s="13"/>
      <c r="K56" s="13"/>
      <c r="L56" s="13"/>
      <c r="M56" s="13"/>
      <c r="N56" s="13"/>
      <c r="O56" s="13"/>
      <c r="P56" s="13"/>
      <c r="Q56" s="13"/>
      <c r="R56" s="13"/>
      <c r="S56" s="13"/>
      <c r="T56" s="13"/>
      <c r="U56" s="13"/>
      <c r="V56" s="14" t="s">
        <v>795</v>
      </c>
      <c r="W56" s="14" t="s">
        <v>795</v>
      </c>
      <c r="X56" s="13"/>
      <c r="Y56" s="13"/>
      <c r="Z56" s="13"/>
      <c r="AA56" s="13"/>
      <c r="AB56" s="13"/>
      <c r="AC56" s="13"/>
      <c r="AD56" s="13"/>
      <c r="AE56" s="13"/>
      <c r="AF56" s="13"/>
      <c r="AG56" s="13"/>
      <c r="AH56" s="13"/>
      <c r="AI56" s="14" t="s">
        <v>795</v>
      </c>
      <c r="AJ56" s="13"/>
      <c r="AK56" s="13"/>
      <c r="AL56" s="15" t="n">
        <f aca="false">COUNTIF(C56:AK56,"x")</f>
        <v>3</v>
      </c>
    </row>
    <row r="57" customFormat="false" ht="15" hidden="false" customHeight="false" outlineLevel="0" collapsed="false">
      <c r="A57" s="12" t="s">
        <v>847</v>
      </c>
      <c r="B57" s="12" t="s">
        <v>539</v>
      </c>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4" t="s">
        <v>795</v>
      </c>
      <c r="AL57" s="15" t="n">
        <f aca="false">COUNTIF(C57:AK57,"x")</f>
        <v>1</v>
      </c>
    </row>
    <row r="58" customFormat="false" ht="15" hidden="false" customHeight="false" outlineLevel="0" collapsed="false">
      <c r="A58" s="12" t="s">
        <v>848</v>
      </c>
      <c r="B58" s="12" t="s">
        <v>544</v>
      </c>
      <c r="C58" s="13"/>
      <c r="D58" s="13"/>
      <c r="E58" s="13"/>
      <c r="F58" s="13"/>
      <c r="G58" s="13"/>
      <c r="H58" s="13"/>
      <c r="I58" s="14" t="s">
        <v>795</v>
      </c>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5" t="n">
        <f aca="false">COUNTIF(C58:AK58,"x")</f>
        <v>1</v>
      </c>
    </row>
    <row r="59" customFormat="false" ht="15" hidden="false" customHeight="false" outlineLevel="0" collapsed="false">
      <c r="A59" s="12" t="s">
        <v>849</v>
      </c>
      <c r="B59" s="12" t="s">
        <v>550</v>
      </c>
      <c r="C59" s="13"/>
      <c r="D59" s="13"/>
      <c r="E59" s="13"/>
      <c r="F59" s="13"/>
      <c r="G59" s="13"/>
      <c r="H59" s="13"/>
      <c r="I59" s="13"/>
      <c r="J59" s="13"/>
      <c r="K59" s="13"/>
      <c r="L59" s="13"/>
      <c r="M59" s="13"/>
      <c r="N59" s="13"/>
      <c r="O59" s="13"/>
      <c r="P59" s="13"/>
      <c r="Q59" s="14" t="s">
        <v>795</v>
      </c>
      <c r="R59" s="13"/>
      <c r="S59" s="13"/>
      <c r="T59" s="13"/>
      <c r="U59" s="13"/>
      <c r="V59" s="13"/>
      <c r="W59" s="13"/>
      <c r="X59" s="13"/>
      <c r="Y59" s="13"/>
      <c r="Z59" s="13"/>
      <c r="AA59" s="13"/>
      <c r="AB59" s="14" t="s">
        <v>795</v>
      </c>
      <c r="AC59" s="13"/>
      <c r="AD59" s="13"/>
      <c r="AE59" s="13"/>
      <c r="AF59" s="13"/>
      <c r="AG59" s="13"/>
      <c r="AH59" s="13"/>
      <c r="AI59" s="13"/>
      <c r="AJ59" s="13"/>
      <c r="AK59" s="13"/>
      <c r="AL59" s="15" t="n">
        <f aca="false">COUNTIF(C59:AK59,"x")</f>
        <v>2</v>
      </c>
    </row>
    <row r="60" customFormat="false" ht="15" hidden="false" customHeight="false" outlineLevel="0" collapsed="false">
      <c r="A60" s="12" t="s">
        <v>850</v>
      </c>
      <c r="B60" s="12" t="s">
        <v>555</v>
      </c>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4" t="s">
        <v>795</v>
      </c>
      <c r="AC60" s="14" t="s">
        <v>795</v>
      </c>
      <c r="AD60" s="13"/>
      <c r="AE60" s="13"/>
      <c r="AF60" s="13"/>
      <c r="AG60" s="13"/>
      <c r="AH60" s="13"/>
      <c r="AI60" s="13"/>
      <c r="AJ60" s="13"/>
      <c r="AK60" s="13"/>
      <c r="AL60" s="15" t="n">
        <f aca="false">COUNTIF(C60:AK60,"x")</f>
        <v>2</v>
      </c>
    </row>
    <row r="61" customFormat="false" ht="15" hidden="false" customHeight="false" outlineLevel="0" collapsed="false">
      <c r="A61" s="12" t="s">
        <v>851</v>
      </c>
      <c r="B61" s="12" t="s">
        <v>561</v>
      </c>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4" t="s">
        <v>795</v>
      </c>
      <c r="AG61" s="13"/>
      <c r="AH61" s="13"/>
      <c r="AI61" s="13"/>
      <c r="AJ61" s="13"/>
      <c r="AK61" s="13"/>
      <c r="AL61" s="15" t="n">
        <f aca="false">COUNTIF(C61:AK61,"x")</f>
        <v>1</v>
      </c>
    </row>
    <row r="62" customFormat="false" ht="15" hidden="false" customHeight="false" outlineLevel="0" collapsed="false">
      <c r="A62" s="12" t="s">
        <v>852</v>
      </c>
      <c r="B62" s="12" t="s">
        <v>567</v>
      </c>
      <c r="C62" s="13"/>
      <c r="D62" s="13"/>
      <c r="E62" s="14" t="s">
        <v>795</v>
      </c>
      <c r="F62" s="13"/>
      <c r="G62" s="13"/>
      <c r="H62" s="13"/>
      <c r="I62" s="13"/>
      <c r="J62" s="13"/>
      <c r="K62" s="13"/>
      <c r="L62" s="13"/>
      <c r="M62" s="14" t="s">
        <v>795</v>
      </c>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5" t="n">
        <f aca="false">COUNTIF(C62:AK62,"x")</f>
        <v>2</v>
      </c>
    </row>
    <row r="63" customFormat="false" ht="15" hidden="false" customHeight="false" outlineLevel="0" collapsed="false">
      <c r="A63" s="12" t="s">
        <v>853</v>
      </c>
      <c r="B63" s="12" t="s">
        <v>572</v>
      </c>
      <c r="C63" s="13"/>
      <c r="D63" s="13"/>
      <c r="E63" s="13"/>
      <c r="F63" s="13"/>
      <c r="G63" s="13"/>
      <c r="H63" s="13"/>
      <c r="I63" s="13"/>
      <c r="J63" s="13"/>
      <c r="K63" s="13"/>
      <c r="L63" s="13"/>
      <c r="M63" s="13"/>
      <c r="N63" s="13"/>
      <c r="O63" s="13"/>
      <c r="P63" s="13"/>
      <c r="Q63" s="13"/>
      <c r="R63" s="13"/>
      <c r="S63" s="13"/>
      <c r="T63" s="13"/>
      <c r="U63" s="13"/>
      <c r="V63" s="14" t="s">
        <v>795</v>
      </c>
      <c r="W63" s="13"/>
      <c r="X63" s="13"/>
      <c r="Y63" s="13"/>
      <c r="Z63" s="13"/>
      <c r="AA63" s="13"/>
      <c r="AB63" s="13"/>
      <c r="AC63" s="13"/>
      <c r="AD63" s="13"/>
      <c r="AE63" s="13"/>
      <c r="AF63" s="13"/>
      <c r="AG63" s="13"/>
      <c r="AH63" s="13"/>
      <c r="AI63" s="14" t="s">
        <v>795</v>
      </c>
      <c r="AJ63" s="13"/>
      <c r="AK63" s="13"/>
      <c r="AL63" s="15" t="n">
        <f aca="false">COUNTIF(C63:AK63,"x")</f>
        <v>2</v>
      </c>
    </row>
    <row r="64" customFormat="false" ht="15" hidden="false" customHeight="false" outlineLevel="0" collapsed="false">
      <c r="A64" s="12" t="s">
        <v>854</v>
      </c>
      <c r="B64" s="12" t="s">
        <v>577</v>
      </c>
      <c r="C64" s="13"/>
      <c r="D64" s="13"/>
      <c r="E64" s="13"/>
      <c r="F64" s="13"/>
      <c r="G64" s="13"/>
      <c r="H64" s="13"/>
      <c r="I64" s="13"/>
      <c r="J64" s="13"/>
      <c r="K64" s="13"/>
      <c r="L64" s="14" t="s">
        <v>795</v>
      </c>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5" t="n">
        <f aca="false">COUNTIF(C64:AK64,"x")</f>
        <v>1</v>
      </c>
    </row>
    <row r="65" customFormat="false" ht="15" hidden="false" customHeight="false" outlineLevel="0" collapsed="false">
      <c r="A65" s="12" t="s">
        <v>855</v>
      </c>
      <c r="B65" s="12" t="s">
        <v>583</v>
      </c>
      <c r="C65" s="13"/>
      <c r="D65" s="13"/>
      <c r="E65" s="13"/>
      <c r="F65" s="13"/>
      <c r="G65" s="13"/>
      <c r="H65" s="13"/>
      <c r="I65" s="13"/>
      <c r="J65" s="13"/>
      <c r="K65" s="14" t="s">
        <v>795</v>
      </c>
      <c r="L65" s="14" t="s">
        <v>795</v>
      </c>
      <c r="M65" s="13"/>
      <c r="N65" s="13"/>
      <c r="O65" s="13"/>
      <c r="P65" s="13"/>
      <c r="Q65" s="13"/>
      <c r="R65" s="13"/>
      <c r="S65" s="13"/>
      <c r="T65" s="13"/>
      <c r="U65" s="13"/>
      <c r="V65" s="13"/>
      <c r="W65" s="13"/>
      <c r="X65" s="13"/>
      <c r="Y65" s="13"/>
      <c r="Z65" s="13"/>
      <c r="AA65" s="13"/>
      <c r="AB65" s="13"/>
      <c r="AC65" s="13"/>
      <c r="AD65" s="13"/>
      <c r="AE65" s="13"/>
      <c r="AF65" s="13"/>
      <c r="AG65" s="13"/>
      <c r="AH65" s="14" t="s">
        <v>795</v>
      </c>
      <c r="AI65" s="13"/>
      <c r="AJ65" s="13"/>
      <c r="AK65" s="13"/>
      <c r="AL65" s="15" t="n">
        <f aca="false">COUNTIF(C65:AK65,"x")</f>
        <v>3</v>
      </c>
    </row>
    <row r="66" customFormat="false" ht="15" hidden="false" customHeight="false" outlineLevel="0" collapsed="false">
      <c r="A66" s="12" t="s">
        <v>856</v>
      </c>
      <c r="B66" s="12" t="s">
        <v>588</v>
      </c>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4" t="s">
        <v>795</v>
      </c>
      <c r="AF66" s="13"/>
      <c r="AG66" s="13"/>
      <c r="AH66" s="13"/>
      <c r="AI66" s="13"/>
      <c r="AJ66" s="13"/>
      <c r="AK66" s="13"/>
      <c r="AL66" s="15" t="n">
        <f aca="false">COUNTIF(C66:AK66,"x")</f>
        <v>1</v>
      </c>
    </row>
    <row r="67" customFormat="false" ht="15" hidden="false" customHeight="false" outlineLevel="0" collapsed="false">
      <c r="A67" s="12" t="s">
        <v>857</v>
      </c>
      <c r="B67" s="12" t="s">
        <v>594</v>
      </c>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4" t="s">
        <v>795</v>
      </c>
      <c r="AI67" s="13"/>
      <c r="AJ67" s="13"/>
      <c r="AK67" s="13"/>
      <c r="AL67" s="15" t="n">
        <f aca="false">COUNTIF(C67:AK67,"x")</f>
        <v>1</v>
      </c>
    </row>
    <row r="68" customFormat="false" ht="15" hidden="false" customHeight="false" outlineLevel="0" collapsed="false">
      <c r="A68" s="12" t="s">
        <v>858</v>
      </c>
      <c r="B68" s="12" t="s">
        <v>600</v>
      </c>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4" t="s">
        <v>795</v>
      </c>
      <c r="AI68" s="13"/>
      <c r="AJ68" s="13"/>
      <c r="AK68" s="13"/>
      <c r="AL68" s="15" t="n">
        <f aca="false">COUNTIF(C68:AK68,"x")</f>
        <v>1</v>
      </c>
    </row>
    <row r="69" customFormat="false" ht="15" hidden="false" customHeight="false" outlineLevel="0" collapsed="false">
      <c r="A69" s="12" t="s">
        <v>859</v>
      </c>
      <c r="B69" s="12" t="s">
        <v>607</v>
      </c>
      <c r="C69" s="14" t="s">
        <v>795</v>
      </c>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5" t="n">
        <f aca="false">COUNTIF(C69:AK69,"x")</f>
        <v>1</v>
      </c>
    </row>
    <row r="70" customFormat="false" ht="15" hidden="false" customHeight="false" outlineLevel="0" collapsed="false">
      <c r="A70" s="12" t="s">
        <v>860</v>
      </c>
      <c r="B70" s="12" t="s">
        <v>613</v>
      </c>
      <c r="C70" s="13"/>
      <c r="D70" s="13"/>
      <c r="E70" s="13"/>
      <c r="F70" s="13"/>
      <c r="G70" s="13"/>
      <c r="H70" s="13"/>
      <c r="I70" s="13"/>
      <c r="J70" s="13"/>
      <c r="K70" s="13"/>
      <c r="L70" s="13"/>
      <c r="M70" s="13"/>
      <c r="N70" s="13"/>
      <c r="O70" s="13"/>
      <c r="P70" s="13"/>
      <c r="Q70" s="13"/>
      <c r="R70" s="13"/>
      <c r="S70" s="14" t="s">
        <v>795</v>
      </c>
      <c r="T70" s="13"/>
      <c r="U70" s="13"/>
      <c r="V70" s="13"/>
      <c r="W70" s="13"/>
      <c r="X70" s="14" t="s">
        <v>795</v>
      </c>
      <c r="Y70" s="13"/>
      <c r="Z70" s="13"/>
      <c r="AA70" s="13"/>
      <c r="AB70" s="13"/>
      <c r="AC70" s="13"/>
      <c r="AD70" s="13"/>
      <c r="AE70" s="13"/>
      <c r="AF70" s="13"/>
      <c r="AG70" s="13"/>
      <c r="AH70" s="13"/>
      <c r="AI70" s="13"/>
      <c r="AJ70" s="13"/>
      <c r="AK70" s="13"/>
      <c r="AL70" s="15" t="n">
        <f aca="false">COUNTIF(C70:AK70,"x")</f>
        <v>2</v>
      </c>
    </row>
    <row r="71" customFormat="false" ht="15" hidden="false" customHeight="false" outlineLevel="0" collapsed="false">
      <c r="A71" s="12" t="s">
        <v>861</v>
      </c>
      <c r="B71" s="12" t="s">
        <v>620</v>
      </c>
      <c r="C71" s="13"/>
      <c r="D71" s="13"/>
      <c r="E71" s="13"/>
      <c r="F71" s="13"/>
      <c r="G71" s="13"/>
      <c r="H71" s="13"/>
      <c r="I71" s="13"/>
      <c r="J71" s="13"/>
      <c r="K71" s="14" t="s">
        <v>795</v>
      </c>
      <c r="L71" s="13"/>
      <c r="M71" s="13"/>
      <c r="N71" s="13"/>
      <c r="O71" s="13"/>
      <c r="P71" s="13"/>
      <c r="Q71" s="13"/>
      <c r="R71" s="13"/>
      <c r="S71" s="13"/>
      <c r="T71" s="13"/>
      <c r="U71" s="13"/>
      <c r="V71" s="13"/>
      <c r="W71" s="13"/>
      <c r="X71" s="13"/>
      <c r="Y71" s="13"/>
      <c r="Z71" s="13"/>
      <c r="AA71" s="13"/>
      <c r="AB71" s="13"/>
      <c r="AC71" s="13"/>
      <c r="AD71" s="13"/>
      <c r="AE71" s="13"/>
      <c r="AF71" s="13"/>
      <c r="AG71" s="13"/>
      <c r="AH71" s="14" t="s">
        <v>795</v>
      </c>
      <c r="AI71" s="13"/>
      <c r="AJ71" s="13"/>
      <c r="AK71" s="13"/>
      <c r="AL71" s="15" t="n">
        <f aca="false">COUNTIF(C71:AK71,"x")</f>
        <v>2</v>
      </c>
    </row>
    <row r="72" customFormat="false" ht="15" hidden="false" customHeight="false" outlineLevel="0" collapsed="false">
      <c r="A72" s="12" t="s">
        <v>862</v>
      </c>
      <c r="B72" s="12" t="s">
        <v>626</v>
      </c>
      <c r="C72" s="13"/>
      <c r="D72" s="13"/>
      <c r="E72" s="13"/>
      <c r="F72" s="13"/>
      <c r="G72" s="13"/>
      <c r="H72" s="13"/>
      <c r="I72" s="13"/>
      <c r="J72" s="13"/>
      <c r="K72" s="13"/>
      <c r="L72" s="13"/>
      <c r="M72" s="13"/>
      <c r="N72" s="13"/>
      <c r="O72" s="13"/>
      <c r="P72" s="13"/>
      <c r="Q72" s="13"/>
      <c r="R72" s="13"/>
      <c r="S72" s="13"/>
      <c r="T72" s="13"/>
      <c r="U72" s="13"/>
      <c r="V72" s="14" t="s">
        <v>795</v>
      </c>
      <c r="W72" s="13"/>
      <c r="X72" s="13"/>
      <c r="Y72" s="13"/>
      <c r="Z72" s="13"/>
      <c r="AA72" s="13"/>
      <c r="AB72" s="13"/>
      <c r="AC72" s="13"/>
      <c r="AD72" s="13"/>
      <c r="AE72" s="13"/>
      <c r="AF72" s="13"/>
      <c r="AG72" s="13"/>
      <c r="AH72" s="13"/>
      <c r="AI72" s="13"/>
      <c r="AJ72" s="13"/>
      <c r="AK72" s="13"/>
      <c r="AL72" s="15" t="n">
        <f aca="false">COUNTIF(C72:AK72,"x")</f>
        <v>1</v>
      </c>
    </row>
    <row r="73" customFormat="false" ht="15" hidden="false" customHeight="false" outlineLevel="0" collapsed="false">
      <c r="A73" s="12" t="s">
        <v>863</v>
      </c>
      <c r="B73" s="12" t="s">
        <v>632</v>
      </c>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4" t="s">
        <v>795</v>
      </c>
      <c r="AC73" s="13"/>
      <c r="AD73" s="13"/>
      <c r="AE73" s="13"/>
      <c r="AF73" s="13"/>
      <c r="AG73" s="13"/>
      <c r="AH73" s="13"/>
      <c r="AI73" s="13"/>
      <c r="AJ73" s="13"/>
      <c r="AK73" s="13"/>
      <c r="AL73" s="15" t="n">
        <f aca="false">COUNTIF(C73:AK73,"x")</f>
        <v>1</v>
      </c>
    </row>
    <row r="74" customFormat="false" ht="15" hidden="false" customHeight="false" outlineLevel="0" collapsed="false">
      <c r="A74" s="12" t="s">
        <v>864</v>
      </c>
      <c r="B74" s="12" t="s">
        <v>639</v>
      </c>
      <c r="C74" s="13"/>
      <c r="D74" s="13"/>
      <c r="E74" s="13"/>
      <c r="F74" s="13"/>
      <c r="G74" s="13"/>
      <c r="H74" s="13"/>
      <c r="I74" s="13"/>
      <c r="J74" s="13"/>
      <c r="K74" s="13"/>
      <c r="L74" s="13"/>
      <c r="M74" s="13"/>
      <c r="N74" s="13"/>
      <c r="O74" s="13"/>
      <c r="P74" s="13"/>
      <c r="Q74" s="13"/>
      <c r="R74" s="13"/>
      <c r="S74" s="13"/>
      <c r="T74" s="13"/>
      <c r="U74" s="13"/>
      <c r="V74" s="13"/>
      <c r="W74" s="13"/>
      <c r="X74" s="13"/>
      <c r="Y74" s="13"/>
      <c r="Z74" s="13"/>
      <c r="AA74" s="14" t="s">
        <v>795</v>
      </c>
      <c r="AB74" s="14" t="s">
        <v>795</v>
      </c>
      <c r="AC74" s="13"/>
      <c r="AD74" s="13"/>
      <c r="AE74" s="13"/>
      <c r="AF74" s="13"/>
      <c r="AG74" s="13"/>
      <c r="AH74" s="13"/>
      <c r="AI74" s="13"/>
      <c r="AJ74" s="13"/>
      <c r="AK74" s="13"/>
      <c r="AL74" s="15" t="n">
        <f aca="false">COUNTIF(C74:AK74,"x")</f>
        <v>2</v>
      </c>
    </row>
    <row r="75" customFormat="false" ht="15" hidden="false" customHeight="false" outlineLevel="0" collapsed="false">
      <c r="A75" s="12" t="s">
        <v>865</v>
      </c>
      <c r="B75" s="12" t="s">
        <v>645</v>
      </c>
      <c r="C75" s="13"/>
      <c r="D75" s="13"/>
      <c r="E75" s="13"/>
      <c r="F75" s="13"/>
      <c r="G75" s="13"/>
      <c r="H75" s="13"/>
      <c r="I75" s="13"/>
      <c r="J75" s="13"/>
      <c r="K75" s="13"/>
      <c r="L75" s="13"/>
      <c r="M75" s="13"/>
      <c r="N75" s="13"/>
      <c r="O75" s="14" t="s">
        <v>795</v>
      </c>
      <c r="P75" s="13"/>
      <c r="Q75" s="13"/>
      <c r="R75" s="13"/>
      <c r="S75" s="13"/>
      <c r="T75" s="13"/>
      <c r="U75" s="13"/>
      <c r="V75" s="13"/>
      <c r="W75" s="13"/>
      <c r="X75" s="13"/>
      <c r="Y75" s="13"/>
      <c r="Z75" s="13"/>
      <c r="AA75" s="14" t="s">
        <v>795</v>
      </c>
      <c r="AB75" s="14" t="s">
        <v>795</v>
      </c>
      <c r="AC75" s="13"/>
      <c r="AD75" s="13"/>
      <c r="AE75" s="13"/>
      <c r="AF75" s="13"/>
      <c r="AG75" s="13"/>
      <c r="AH75" s="13"/>
      <c r="AI75" s="13"/>
      <c r="AJ75" s="13"/>
      <c r="AK75" s="13"/>
      <c r="AL75" s="15" t="n">
        <f aca="false">COUNTIF(C75:AK75,"x")</f>
        <v>3</v>
      </c>
    </row>
    <row r="76" customFormat="false" ht="15" hidden="false" customHeight="false" outlineLevel="0" collapsed="false">
      <c r="A76" s="12" t="s">
        <v>866</v>
      </c>
      <c r="B76" s="12" t="s">
        <v>650</v>
      </c>
      <c r="C76" s="14" t="s">
        <v>795</v>
      </c>
      <c r="D76" s="13"/>
      <c r="E76" s="13"/>
      <c r="F76" s="13"/>
      <c r="G76" s="13"/>
      <c r="H76" s="13"/>
      <c r="I76" s="13"/>
      <c r="J76" s="13"/>
      <c r="K76" s="13"/>
      <c r="L76" s="13"/>
      <c r="M76" s="13"/>
      <c r="N76" s="13"/>
      <c r="O76" s="13"/>
      <c r="P76" s="13"/>
      <c r="Q76" s="14" t="s">
        <v>795</v>
      </c>
      <c r="R76" s="13"/>
      <c r="S76" s="13"/>
      <c r="T76" s="13"/>
      <c r="U76" s="13"/>
      <c r="V76" s="13"/>
      <c r="W76" s="13"/>
      <c r="X76" s="13"/>
      <c r="Y76" s="13"/>
      <c r="Z76" s="13"/>
      <c r="AA76" s="13"/>
      <c r="AB76" s="13"/>
      <c r="AC76" s="13"/>
      <c r="AD76" s="13"/>
      <c r="AE76" s="13"/>
      <c r="AF76" s="13"/>
      <c r="AG76" s="13"/>
      <c r="AH76" s="13"/>
      <c r="AI76" s="13"/>
      <c r="AJ76" s="13"/>
      <c r="AK76" s="13"/>
      <c r="AL76" s="15" t="n">
        <f aca="false">COUNTIF(C76:AK76,"x")</f>
        <v>2</v>
      </c>
    </row>
    <row r="77" customFormat="false" ht="15" hidden="false" customHeight="false" outlineLevel="0" collapsed="false">
      <c r="A77" s="12" t="s">
        <v>867</v>
      </c>
      <c r="B77" s="12" t="s">
        <v>656</v>
      </c>
      <c r="C77" s="13"/>
      <c r="D77" s="13"/>
      <c r="E77" s="13"/>
      <c r="F77" s="13"/>
      <c r="G77" s="13"/>
      <c r="H77" s="13"/>
      <c r="I77" s="13"/>
      <c r="J77" s="13"/>
      <c r="K77" s="13"/>
      <c r="L77" s="13"/>
      <c r="M77" s="13"/>
      <c r="N77" s="13"/>
      <c r="O77" s="13"/>
      <c r="P77" s="13"/>
      <c r="Q77" s="13"/>
      <c r="R77" s="13"/>
      <c r="S77" s="13"/>
      <c r="T77" s="13"/>
      <c r="U77" s="13"/>
      <c r="V77" s="13"/>
      <c r="W77" s="13"/>
      <c r="X77" s="13"/>
      <c r="Y77" s="13"/>
      <c r="Z77" s="13"/>
      <c r="AA77" s="14" t="s">
        <v>795</v>
      </c>
      <c r="AB77" s="13"/>
      <c r="AC77" s="13"/>
      <c r="AD77" s="13"/>
      <c r="AE77" s="13"/>
      <c r="AF77" s="13"/>
      <c r="AG77" s="13"/>
      <c r="AH77" s="13"/>
      <c r="AI77" s="13"/>
      <c r="AJ77" s="13"/>
      <c r="AK77" s="13"/>
      <c r="AL77" s="15" t="n">
        <f aca="false">COUNTIF(C77:AK77,"x")</f>
        <v>1</v>
      </c>
    </row>
    <row r="78" customFormat="false" ht="15" hidden="false" customHeight="false" outlineLevel="0" collapsed="false">
      <c r="A78" s="12" t="s">
        <v>868</v>
      </c>
      <c r="B78" s="12" t="s">
        <v>662</v>
      </c>
      <c r="C78" s="13"/>
      <c r="D78" s="13"/>
      <c r="E78" s="13"/>
      <c r="F78" s="13"/>
      <c r="G78" s="13"/>
      <c r="H78" s="13"/>
      <c r="I78" s="13"/>
      <c r="J78" s="13"/>
      <c r="K78" s="13"/>
      <c r="L78" s="13"/>
      <c r="M78" s="13"/>
      <c r="N78" s="13"/>
      <c r="O78" s="13"/>
      <c r="P78" s="13"/>
      <c r="Q78" s="13"/>
      <c r="R78" s="13"/>
      <c r="S78" s="13"/>
      <c r="T78" s="14" t="s">
        <v>795</v>
      </c>
      <c r="U78" s="13"/>
      <c r="V78" s="13"/>
      <c r="W78" s="14" t="s">
        <v>795</v>
      </c>
      <c r="X78" s="13"/>
      <c r="Y78" s="13"/>
      <c r="Z78" s="13"/>
      <c r="AA78" s="13"/>
      <c r="AB78" s="13"/>
      <c r="AC78" s="13"/>
      <c r="AD78" s="13"/>
      <c r="AE78" s="13"/>
      <c r="AF78" s="13"/>
      <c r="AG78" s="13"/>
      <c r="AH78" s="13"/>
      <c r="AI78" s="13"/>
      <c r="AJ78" s="13"/>
      <c r="AK78" s="13"/>
      <c r="AL78" s="15" t="n">
        <f aca="false">COUNTIF(C78:AK78,"x")</f>
        <v>2</v>
      </c>
    </row>
    <row r="79" customFormat="false" ht="15" hidden="false" customHeight="false" outlineLevel="0" collapsed="false">
      <c r="A79" s="12" t="s">
        <v>869</v>
      </c>
      <c r="B79" s="12" t="s">
        <v>668</v>
      </c>
      <c r="C79" s="13"/>
      <c r="D79" s="13"/>
      <c r="E79" s="13"/>
      <c r="F79" s="13"/>
      <c r="G79" s="13"/>
      <c r="H79" s="13"/>
      <c r="I79" s="13"/>
      <c r="J79" s="13"/>
      <c r="K79" s="13"/>
      <c r="L79" s="13"/>
      <c r="M79" s="13"/>
      <c r="N79" s="13"/>
      <c r="O79" s="13"/>
      <c r="P79" s="13"/>
      <c r="Q79" s="13"/>
      <c r="R79" s="13"/>
      <c r="S79" s="13"/>
      <c r="T79" s="13"/>
      <c r="U79" s="13"/>
      <c r="V79" s="13"/>
      <c r="W79" s="14" t="s">
        <v>795</v>
      </c>
      <c r="X79" s="13"/>
      <c r="Y79" s="14" t="s">
        <v>795</v>
      </c>
      <c r="Z79" s="13"/>
      <c r="AA79" s="13"/>
      <c r="AB79" s="13"/>
      <c r="AC79" s="13"/>
      <c r="AD79" s="13"/>
      <c r="AE79" s="13"/>
      <c r="AF79" s="13"/>
      <c r="AG79" s="13"/>
      <c r="AH79" s="13"/>
      <c r="AI79" s="14" t="s">
        <v>795</v>
      </c>
      <c r="AJ79" s="13"/>
      <c r="AK79" s="13"/>
      <c r="AL79" s="15" t="n">
        <f aca="false">COUNTIF(C79:AK79,"x")</f>
        <v>3</v>
      </c>
    </row>
    <row r="80" customFormat="false" ht="15" hidden="false" customHeight="false" outlineLevel="0" collapsed="false">
      <c r="A80" s="12" t="s">
        <v>870</v>
      </c>
      <c r="B80" s="12" t="s">
        <v>674</v>
      </c>
      <c r="C80" s="13"/>
      <c r="D80" s="13"/>
      <c r="E80" s="13"/>
      <c r="F80" s="13"/>
      <c r="G80" s="13"/>
      <c r="H80" s="13"/>
      <c r="I80" s="13"/>
      <c r="J80" s="13"/>
      <c r="K80" s="13"/>
      <c r="L80" s="13"/>
      <c r="M80" s="13"/>
      <c r="N80" s="13"/>
      <c r="O80" s="13"/>
      <c r="P80" s="13"/>
      <c r="Q80" s="13"/>
      <c r="R80" s="13"/>
      <c r="S80" s="13"/>
      <c r="T80" s="13"/>
      <c r="U80" s="13"/>
      <c r="V80" s="14" t="s">
        <v>795</v>
      </c>
      <c r="W80" s="13"/>
      <c r="X80" s="13"/>
      <c r="Y80" s="13"/>
      <c r="Z80" s="13"/>
      <c r="AA80" s="13"/>
      <c r="AB80" s="13"/>
      <c r="AC80" s="13"/>
      <c r="AD80" s="13"/>
      <c r="AE80" s="13"/>
      <c r="AF80" s="13"/>
      <c r="AG80" s="13"/>
      <c r="AH80" s="13"/>
      <c r="AI80" s="14" t="s">
        <v>795</v>
      </c>
      <c r="AJ80" s="13"/>
      <c r="AK80" s="13"/>
      <c r="AL80" s="15" t="n">
        <f aca="false">COUNTIF(C80:AK80,"x")</f>
        <v>2</v>
      </c>
    </row>
    <row r="81" customFormat="false" ht="15" hidden="false" customHeight="false" outlineLevel="0" collapsed="false">
      <c r="A81" s="12" t="s">
        <v>871</v>
      </c>
      <c r="B81" s="12" t="s">
        <v>680</v>
      </c>
      <c r="C81" s="13"/>
      <c r="D81" s="13"/>
      <c r="E81" s="13"/>
      <c r="F81" s="13"/>
      <c r="G81" s="13"/>
      <c r="H81" s="13"/>
      <c r="I81" s="13"/>
      <c r="J81" s="13"/>
      <c r="K81" s="13"/>
      <c r="L81" s="13"/>
      <c r="M81" s="13"/>
      <c r="N81" s="13"/>
      <c r="O81" s="13"/>
      <c r="P81" s="13"/>
      <c r="Q81" s="13"/>
      <c r="R81" s="13"/>
      <c r="S81" s="14" t="s">
        <v>795</v>
      </c>
      <c r="T81" s="14" t="s">
        <v>795</v>
      </c>
      <c r="U81" s="13"/>
      <c r="V81" s="13"/>
      <c r="W81" s="13"/>
      <c r="X81" s="13"/>
      <c r="Y81" s="13"/>
      <c r="Z81" s="13"/>
      <c r="AA81" s="13"/>
      <c r="AB81" s="13"/>
      <c r="AC81" s="13"/>
      <c r="AD81" s="13"/>
      <c r="AE81" s="13"/>
      <c r="AF81" s="13"/>
      <c r="AG81" s="13"/>
      <c r="AH81" s="13"/>
      <c r="AI81" s="13"/>
      <c r="AJ81" s="13"/>
      <c r="AK81" s="13"/>
      <c r="AL81" s="15" t="n">
        <f aca="false">COUNTIF(C81:AK81,"x")</f>
        <v>2</v>
      </c>
    </row>
    <row r="82" customFormat="false" ht="15" hidden="false" customHeight="false" outlineLevel="0" collapsed="false">
      <c r="A82" s="12" t="s">
        <v>872</v>
      </c>
      <c r="B82" s="12" t="s">
        <v>686</v>
      </c>
      <c r="C82" s="14" t="s">
        <v>795</v>
      </c>
      <c r="D82" s="13"/>
      <c r="E82" s="13"/>
      <c r="F82" s="13"/>
      <c r="G82" s="13"/>
      <c r="H82" s="13"/>
      <c r="I82" s="13"/>
      <c r="J82" s="13"/>
      <c r="K82" s="13"/>
      <c r="L82" s="13"/>
      <c r="M82" s="13"/>
      <c r="N82" s="13"/>
      <c r="O82" s="13"/>
      <c r="P82" s="13"/>
      <c r="Q82" s="13"/>
      <c r="R82" s="13"/>
      <c r="S82" s="13"/>
      <c r="T82" s="13"/>
      <c r="U82" s="14" t="s">
        <v>795</v>
      </c>
      <c r="V82" s="13"/>
      <c r="W82" s="13"/>
      <c r="X82" s="13"/>
      <c r="Y82" s="13"/>
      <c r="Z82" s="13"/>
      <c r="AA82" s="13"/>
      <c r="AB82" s="13"/>
      <c r="AC82" s="13"/>
      <c r="AD82" s="13"/>
      <c r="AE82" s="13"/>
      <c r="AF82" s="13"/>
      <c r="AG82" s="13"/>
      <c r="AH82" s="13"/>
      <c r="AI82" s="13"/>
      <c r="AJ82" s="13"/>
      <c r="AK82" s="13"/>
      <c r="AL82" s="15" t="n">
        <f aca="false">COUNTIF(C82:AK82,"x")</f>
        <v>2</v>
      </c>
    </row>
    <row r="83" customFormat="false" ht="15" hidden="false" customHeight="false" outlineLevel="0" collapsed="false">
      <c r="A83" s="12" t="s">
        <v>873</v>
      </c>
      <c r="B83" s="12" t="s">
        <v>691</v>
      </c>
      <c r="C83" s="13"/>
      <c r="D83" s="14" t="s">
        <v>795</v>
      </c>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4" t="s">
        <v>795</v>
      </c>
      <c r="AI83" s="13"/>
      <c r="AJ83" s="13"/>
      <c r="AK83" s="13"/>
      <c r="AL83" s="15" t="n">
        <f aca="false">COUNTIF(C83:AK83,"x")</f>
        <v>2</v>
      </c>
    </row>
    <row r="84" customFormat="false" ht="15" hidden="false" customHeight="false" outlineLevel="0" collapsed="false">
      <c r="A84" s="12" t="s">
        <v>874</v>
      </c>
      <c r="B84" s="12" t="s">
        <v>696</v>
      </c>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4" t="s">
        <v>795</v>
      </c>
      <c r="AG84" s="13"/>
      <c r="AH84" s="13"/>
      <c r="AI84" s="13"/>
      <c r="AJ84" s="13"/>
      <c r="AK84" s="13"/>
      <c r="AL84" s="15" t="n">
        <f aca="false">COUNTIF(C84:AK84,"x")</f>
        <v>1</v>
      </c>
    </row>
    <row r="85" customFormat="false" ht="15" hidden="false" customHeight="false" outlineLevel="0" collapsed="false">
      <c r="A85" s="12" t="s">
        <v>875</v>
      </c>
      <c r="B85" s="12" t="s">
        <v>702</v>
      </c>
      <c r="C85" s="13"/>
      <c r="D85" s="13"/>
      <c r="E85" s="13"/>
      <c r="F85" s="13"/>
      <c r="G85" s="13"/>
      <c r="H85" s="13"/>
      <c r="I85" s="13"/>
      <c r="J85" s="13"/>
      <c r="K85" s="13"/>
      <c r="L85" s="13"/>
      <c r="M85" s="13"/>
      <c r="N85" s="13"/>
      <c r="O85" s="13"/>
      <c r="P85" s="13"/>
      <c r="Q85" s="13"/>
      <c r="R85" s="13"/>
      <c r="S85" s="13"/>
      <c r="T85" s="13"/>
      <c r="U85" s="13"/>
      <c r="V85" s="13"/>
      <c r="W85" s="14" t="s">
        <v>795</v>
      </c>
      <c r="X85" s="13"/>
      <c r="Y85" s="13"/>
      <c r="Z85" s="13"/>
      <c r="AA85" s="13"/>
      <c r="AB85" s="13"/>
      <c r="AC85" s="13"/>
      <c r="AD85" s="13"/>
      <c r="AE85" s="13"/>
      <c r="AF85" s="13"/>
      <c r="AG85" s="14" t="s">
        <v>795</v>
      </c>
      <c r="AH85" s="13"/>
      <c r="AI85" s="13"/>
      <c r="AJ85" s="13"/>
      <c r="AK85" s="13"/>
      <c r="AL85" s="15" t="n">
        <f aca="false">COUNTIF(C85:AK85,"x")</f>
        <v>2</v>
      </c>
    </row>
    <row r="86" customFormat="false" ht="15" hidden="false" customHeight="false" outlineLevel="0" collapsed="false">
      <c r="A86" s="12" t="s">
        <v>876</v>
      </c>
      <c r="B86" s="12" t="s">
        <v>708</v>
      </c>
      <c r="C86" s="13"/>
      <c r="D86" s="13"/>
      <c r="E86" s="13"/>
      <c r="F86" s="13"/>
      <c r="G86" s="13"/>
      <c r="H86" s="13"/>
      <c r="I86" s="13"/>
      <c r="J86" s="13"/>
      <c r="K86" s="13"/>
      <c r="L86" s="13"/>
      <c r="M86" s="13"/>
      <c r="N86" s="13"/>
      <c r="O86" s="13"/>
      <c r="P86" s="13"/>
      <c r="Q86" s="13"/>
      <c r="R86" s="13"/>
      <c r="S86" s="13"/>
      <c r="T86" s="13"/>
      <c r="U86" s="13"/>
      <c r="V86" s="13"/>
      <c r="W86" s="14" t="s">
        <v>795</v>
      </c>
      <c r="X86" s="14" t="s">
        <v>795</v>
      </c>
      <c r="Y86" s="13"/>
      <c r="Z86" s="13"/>
      <c r="AA86" s="13"/>
      <c r="AB86" s="13"/>
      <c r="AC86" s="13"/>
      <c r="AD86" s="13"/>
      <c r="AE86" s="13"/>
      <c r="AF86" s="13"/>
      <c r="AG86" s="13"/>
      <c r="AH86" s="13"/>
      <c r="AI86" s="13"/>
      <c r="AJ86" s="13"/>
      <c r="AK86" s="13"/>
      <c r="AL86" s="15" t="n">
        <f aca="false">COUNTIF(C86:AK86,"x")</f>
        <v>2</v>
      </c>
    </row>
    <row r="87" customFormat="false" ht="15" hidden="false" customHeight="false" outlineLevel="0" collapsed="false">
      <c r="A87" s="12" t="s">
        <v>877</v>
      </c>
      <c r="B87" s="12" t="s">
        <v>713</v>
      </c>
      <c r="C87" s="13"/>
      <c r="D87" s="13"/>
      <c r="E87" s="13"/>
      <c r="F87" s="13"/>
      <c r="G87" s="13"/>
      <c r="H87" s="13"/>
      <c r="I87" s="13"/>
      <c r="J87" s="13"/>
      <c r="K87" s="13"/>
      <c r="L87" s="13"/>
      <c r="M87" s="13"/>
      <c r="N87" s="13"/>
      <c r="O87" s="14" t="s">
        <v>795</v>
      </c>
      <c r="P87" s="14" t="s">
        <v>795</v>
      </c>
      <c r="Q87" s="13"/>
      <c r="R87" s="13"/>
      <c r="S87" s="13"/>
      <c r="T87" s="13"/>
      <c r="U87" s="13"/>
      <c r="V87" s="13"/>
      <c r="W87" s="13"/>
      <c r="X87" s="13"/>
      <c r="Y87" s="13"/>
      <c r="Z87" s="13"/>
      <c r="AA87" s="13"/>
      <c r="AB87" s="13"/>
      <c r="AC87" s="13"/>
      <c r="AD87" s="13"/>
      <c r="AE87" s="13"/>
      <c r="AF87" s="13"/>
      <c r="AG87" s="13"/>
      <c r="AH87" s="13"/>
      <c r="AI87" s="13"/>
      <c r="AJ87" s="13"/>
      <c r="AK87" s="13"/>
      <c r="AL87" s="15" t="n">
        <f aca="false">COUNTIF(C87:AK87,"x")</f>
        <v>2</v>
      </c>
    </row>
    <row r="88" customFormat="false" ht="15" hidden="false" customHeight="false" outlineLevel="0" collapsed="false">
      <c r="A88" s="12" t="s">
        <v>878</v>
      </c>
      <c r="B88" s="12" t="s">
        <v>719</v>
      </c>
      <c r="C88" s="13"/>
      <c r="D88" s="13"/>
      <c r="E88" s="14" t="s">
        <v>795</v>
      </c>
      <c r="F88" s="14" t="s">
        <v>795</v>
      </c>
      <c r="G88" s="13"/>
      <c r="H88" s="13"/>
      <c r="I88" s="13"/>
      <c r="J88" s="13"/>
      <c r="K88" s="13"/>
      <c r="L88" s="13"/>
      <c r="M88" s="13"/>
      <c r="N88" s="14" t="s">
        <v>795</v>
      </c>
      <c r="O88" s="13"/>
      <c r="P88" s="13"/>
      <c r="Q88" s="13"/>
      <c r="R88" s="13"/>
      <c r="S88" s="13"/>
      <c r="T88" s="13"/>
      <c r="U88" s="13"/>
      <c r="V88" s="13"/>
      <c r="W88" s="13"/>
      <c r="X88" s="13"/>
      <c r="Y88" s="13"/>
      <c r="Z88" s="13"/>
      <c r="AA88" s="13"/>
      <c r="AB88" s="13"/>
      <c r="AC88" s="13"/>
      <c r="AD88" s="13"/>
      <c r="AE88" s="13"/>
      <c r="AF88" s="13"/>
      <c r="AG88" s="13"/>
      <c r="AH88" s="13"/>
      <c r="AI88" s="13"/>
      <c r="AJ88" s="13"/>
      <c r="AK88" s="13"/>
      <c r="AL88" s="15" t="n">
        <f aca="false">COUNTIF(C88:AK88,"x")</f>
        <v>3</v>
      </c>
    </row>
    <row r="89" customFormat="false" ht="15" hidden="false" customHeight="false" outlineLevel="0" collapsed="false">
      <c r="A89" s="12" t="s">
        <v>879</v>
      </c>
      <c r="B89" s="12" t="s">
        <v>725</v>
      </c>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4" t="s">
        <v>795</v>
      </c>
      <c r="AE89" s="13"/>
      <c r="AF89" s="13"/>
      <c r="AG89" s="13"/>
      <c r="AH89" s="13"/>
      <c r="AI89" s="13"/>
      <c r="AJ89" s="13"/>
      <c r="AK89" s="13"/>
      <c r="AL89" s="15" t="n">
        <f aca="false">COUNTIF(C89:AK89,"x")</f>
        <v>1</v>
      </c>
    </row>
    <row r="90" customFormat="false" ht="15" hidden="false" customHeight="false" outlineLevel="0" collapsed="false">
      <c r="A90" s="12" t="s">
        <v>880</v>
      </c>
      <c r="B90" s="12" t="s">
        <v>731</v>
      </c>
      <c r="C90" s="13"/>
      <c r="D90" s="13"/>
      <c r="E90" s="13"/>
      <c r="F90" s="13"/>
      <c r="G90" s="13"/>
      <c r="H90" s="13"/>
      <c r="I90" s="13"/>
      <c r="J90" s="14" t="s">
        <v>795</v>
      </c>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5" t="n">
        <f aca="false">COUNTIF(C90:AK90,"x")</f>
        <v>1</v>
      </c>
    </row>
    <row r="91" customFormat="false" ht="15" hidden="false" customHeight="false" outlineLevel="0" collapsed="false">
      <c r="A91" s="12" t="s">
        <v>881</v>
      </c>
      <c r="B91" s="12" t="s">
        <v>737</v>
      </c>
      <c r="C91" s="13"/>
      <c r="D91" s="13"/>
      <c r="E91" s="14" t="s">
        <v>795</v>
      </c>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5" t="n">
        <f aca="false">COUNTIF(C91:AK91,"x")</f>
        <v>1</v>
      </c>
    </row>
    <row r="92" customFormat="false" ht="15" hidden="false" customHeight="false" outlineLevel="0" collapsed="false">
      <c r="A92" s="12" t="s">
        <v>882</v>
      </c>
      <c r="B92" s="12" t="s">
        <v>743</v>
      </c>
      <c r="C92" s="13"/>
      <c r="D92" s="14" t="s">
        <v>795</v>
      </c>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4" t="s">
        <v>795</v>
      </c>
      <c r="AI92" s="13"/>
      <c r="AJ92" s="13"/>
      <c r="AK92" s="13"/>
      <c r="AL92" s="15" t="n">
        <f aca="false">COUNTIF(C92:AK92,"x")</f>
        <v>2</v>
      </c>
    </row>
    <row r="93" customFormat="false" ht="15" hidden="false" customHeight="false" outlineLevel="0" collapsed="false">
      <c r="A93" s="12" t="s">
        <v>883</v>
      </c>
      <c r="B93" s="12" t="s">
        <v>749</v>
      </c>
      <c r="C93" s="13"/>
      <c r="D93" s="13"/>
      <c r="E93" s="13"/>
      <c r="F93" s="13"/>
      <c r="G93" s="14" t="s">
        <v>795</v>
      </c>
      <c r="H93" s="13"/>
      <c r="I93" s="13"/>
      <c r="J93" s="13"/>
      <c r="K93" s="14" t="s">
        <v>795</v>
      </c>
      <c r="L93" s="13"/>
      <c r="M93" s="13"/>
      <c r="N93" s="14" t="s">
        <v>795</v>
      </c>
      <c r="O93" s="13"/>
      <c r="P93" s="13"/>
      <c r="Q93" s="13"/>
      <c r="R93" s="13"/>
      <c r="S93" s="13"/>
      <c r="T93" s="13"/>
      <c r="U93" s="13"/>
      <c r="V93" s="13"/>
      <c r="W93" s="13"/>
      <c r="X93" s="13"/>
      <c r="Y93" s="13"/>
      <c r="Z93" s="13"/>
      <c r="AA93" s="13"/>
      <c r="AB93" s="13"/>
      <c r="AC93" s="13"/>
      <c r="AD93" s="13"/>
      <c r="AE93" s="13"/>
      <c r="AF93" s="13"/>
      <c r="AG93" s="13"/>
      <c r="AH93" s="13"/>
      <c r="AI93" s="13"/>
      <c r="AJ93" s="13"/>
      <c r="AK93" s="13"/>
      <c r="AL93" s="15" t="n">
        <f aca="false">COUNTIF(C93:AK93,"x")</f>
        <v>3</v>
      </c>
    </row>
    <row r="94" customFormat="false" ht="15" hidden="false" customHeight="false" outlineLevel="0" collapsed="false">
      <c r="A94" s="12" t="s">
        <v>884</v>
      </c>
      <c r="B94" s="12" t="s">
        <v>756</v>
      </c>
      <c r="C94" s="13"/>
      <c r="D94" s="14" t="s">
        <v>795</v>
      </c>
      <c r="E94" s="13"/>
      <c r="F94" s="13"/>
      <c r="G94" s="14" t="s">
        <v>795</v>
      </c>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4" t="s">
        <v>795</v>
      </c>
      <c r="AI94" s="13"/>
      <c r="AJ94" s="13"/>
      <c r="AK94" s="13"/>
      <c r="AL94" s="15" t="n">
        <f aca="false">COUNTIF(C94:AK94,"x")</f>
        <v>3</v>
      </c>
    </row>
    <row r="95" customFormat="false" ht="15" hidden="false" customHeight="false" outlineLevel="0" collapsed="false">
      <c r="A95" s="12" t="s">
        <v>885</v>
      </c>
      <c r="B95" s="12" t="s">
        <v>762</v>
      </c>
      <c r="C95" s="13"/>
      <c r="D95" s="13"/>
      <c r="E95" s="13"/>
      <c r="F95" s="13"/>
      <c r="G95" s="13"/>
      <c r="H95" s="13"/>
      <c r="I95" s="13"/>
      <c r="J95" s="13"/>
      <c r="K95" s="13"/>
      <c r="L95" s="13"/>
      <c r="M95" s="13"/>
      <c r="N95" s="13"/>
      <c r="O95" s="13"/>
      <c r="P95" s="13"/>
      <c r="Q95" s="13"/>
      <c r="R95" s="13"/>
      <c r="S95" s="13"/>
      <c r="T95" s="13"/>
      <c r="U95" s="13"/>
      <c r="V95" s="13"/>
      <c r="W95" s="14" t="s">
        <v>795</v>
      </c>
      <c r="X95" s="13"/>
      <c r="Y95" s="13"/>
      <c r="Z95" s="13"/>
      <c r="AA95" s="13"/>
      <c r="AB95" s="13"/>
      <c r="AC95" s="13"/>
      <c r="AD95" s="13"/>
      <c r="AE95" s="13"/>
      <c r="AF95" s="13"/>
      <c r="AG95" s="13"/>
      <c r="AH95" s="13"/>
      <c r="AI95" s="13"/>
      <c r="AJ95" s="13"/>
      <c r="AK95" s="13"/>
      <c r="AL95" s="15" t="n">
        <f aca="false">COUNTIF(C95:AK95,"x")</f>
        <v>1</v>
      </c>
    </row>
    <row r="96" customFormat="false" ht="15" hidden="false" customHeight="false" outlineLevel="0" collapsed="false">
      <c r="A96" s="12" t="s">
        <v>886</v>
      </c>
      <c r="B96" s="12" t="s">
        <v>767</v>
      </c>
      <c r="C96" s="13"/>
      <c r="D96" s="13"/>
      <c r="E96" s="13"/>
      <c r="F96" s="13"/>
      <c r="G96" s="13"/>
      <c r="H96" s="13"/>
      <c r="I96" s="13"/>
      <c r="J96" s="13"/>
      <c r="K96" s="13"/>
      <c r="L96" s="13"/>
      <c r="M96" s="13"/>
      <c r="N96" s="13"/>
      <c r="O96" s="13"/>
      <c r="P96" s="13"/>
      <c r="Q96" s="13"/>
      <c r="R96" s="13"/>
      <c r="S96" s="13"/>
      <c r="T96" s="13"/>
      <c r="U96" s="13"/>
      <c r="V96" s="13"/>
      <c r="W96" s="14" t="s">
        <v>795</v>
      </c>
      <c r="X96" s="13"/>
      <c r="Y96" s="13"/>
      <c r="Z96" s="13"/>
      <c r="AA96" s="13"/>
      <c r="AB96" s="13"/>
      <c r="AC96" s="13"/>
      <c r="AD96" s="13"/>
      <c r="AE96" s="13"/>
      <c r="AF96" s="13"/>
      <c r="AG96" s="13"/>
      <c r="AH96" s="13"/>
      <c r="AI96" s="13"/>
      <c r="AJ96" s="13"/>
      <c r="AK96" s="13"/>
      <c r="AL96" s="15" t="n">
        <f aca="false">COUNTIF(C96:AK96,"x")</f>
        <v>1</v>
      </c>
    </row>
    <row r="97" customFormat="false" ht="15" hidden="false" customHeight="false" outlineLevel="0" collapsed="false">
      <c r="A97" s="12" t="s">
        <v>887</v>
      </c>
      <c r="B97" s="12" t="s">
        <v>774</v>
      </c>
      <c r="C97" s="14" t="s">
        <v>795</v>
      </c>
      <c r="D97" s="13"/>
      <c r="E97" s="13"/>
      <c r="F97" s="13"/>
      <c r="G97" s="13"/>
      <c r="H97" s="13"/>
      <c r="I97" s="14" t="s">
        <v>795</v>
      </c>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5" t="n">
        <f aca="false">COUNTIF(C97:AK97,"x")</f>
        <v>2</v>
      </c>
    </row>
    <row r="98" customFormat="false" ht="15" hidden="false" customHeight="false" outlineLevel="0" collapsed="false">
      <c r="A98" s="12" t="s">
        <v>888</v>
      </c>
      <c r="B98" s="12" t="s">
        <v>780</v>
      </c>
      <c r="C98" s="13"/>
      <c r="D98" s="13"/>
      <c r="E98" s="13"/>
      <c r="F98" s="13"/>
      <c r="G98" s="13"/>
      <c r="H98" s="13"/>
      <c r="I98" s="13"/>
      <c r="J98" s="13"/>
      <c r="K98" s="14" t="s">
        <v>795</v>
      </c>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5" t="n">
        <f aca="false">COUNTIF(C98:AK98,"x")</f>
        <v>1</v>
      </c>
    </row>
    <row r="99" customFormat="false" ht="15" hidden="false" customHeight="false" outlineLevel="0" collapsed="false">
      <c r="A99" s="12" t="s">
        <v>889</v>
      </c>
      <c r="B99" s="12" t="s">
        <v>785</v>
      </c>
      <c r="C99" s="14" t="s">
        <v>795</v>
      </c>
      <c r="D99" s="13"/>
      <c r="E99" s="13"/>
      <c r="F99" s="13"/>
      <c r="G99" s="13"/>
      <c r="H99" s="13"/>
      <c r="I99" s="14" t="s">
        <v>795</v>
      </c>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5" t="n">
        <f aca="false">COUNTIF(C99:AK99,"x")</f>
        <v>2</v>
      </c>
    </row>
    <row r="100" customFormat="false" ht="15" hidden="false" customHeight="false" outlineLevel="0" collapsed="false">
      <c r="A100" s="12" t="s">
        <v>890</v>
      </c>
      <c r="B100" s="12" t="s">
        <v>791</v>
      </c>
      <c r="C100" s="13"/>
      <c r="D100" s="13"/>
      <c r="E100" s="13"/>
      <c r="F100" s="13"/>
      <c r="G100" s="14" t="s">
        <v>795</v>
      </c>
      <c r="H100" s="13"/>
      <c r="I100" s="13"/>
      <c r="J100" s="13"/>
      <c r="K100" s="13"/>
      <c r="L100" s="13"/>
      <c r="M100" s="13"/>
      <c r="N100" s="14" t="s">
        <v>795</v>
      </c>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5" t="n">
        <f aca="false">COUNTIF(C100:AK100,"x")</f>
        <v>2</v>
      </c>
    </row>
    <row r="101" customFormat="false" ht="15" hidden="false" customHeight="false" outlineLevel="0" collapsed="false">
      <c r="A101" s="16" t="s">
        <v>22</v>
      </c>
      <c r="B101" s="16"/>
      <c r="C101" s="15" t="n">
        <f aca="false">COUNTIF(C3:C100,"x")</f>
        <v>7</v>
      </c>
      <c r="D101" s="15" t="n">
        <f aca="false">COUNTIF(D3:D100,"x")</f>
        <v>7</v>
      </c>
      <c r="E101" s="15" t="n">
        <f aca="false">COUNTIF(E3:E100,"x")</f>
        <v>5</v>
      </c>
      <c r="F101" s="15" t="n">
        <f aca="false">COUNTIF(F3:F100,"x")</f>
        <v>2</v>
      </c>
      <c r="G101" s="15" t="n">
        <f aca="false">COUNTIF(G3:G100,"x")</f>
        <v>3</v>
      </c>
      <c r="H101" s="15" t="n">
        <f aca="false">COUNTIF(H3:H100,"x")</f>
        <v>2</v>
      </c>
      <c r="I101" s="15" t="n">
        <f aca="false">COUNTIF(I3:I100,"x")</f>
        <v>6</v>
      </c>
      <c r="J101" s="15" t="n">
        <f aca="false">COUNTIF(J3:J100,"x")</f>
        <v>2</v>
      </c>
      <c r="K101" s="15" t="n">
        <f aca="false">COUNTIF(K3:K100,"x")</f>
        <v>5</v>
      </c>
      <c r="L101" s="15" t="n">
        <f aca="false">COUNTIF(L3:L100,"x")</f>
        <v>6</v>
      </c>
      <c r="M101" s="15" t="n">
        <f aca="false">COUNTIF(M3:M100,"x")</f>
        <v>3</v>
      </c>
      <c r="N101" s="15" t="n">
        <f aca="false">COUNTIF(N3:N100,"x")</f>
        <v>5</v>
      </c>
      <c r="O101" s="15" t="n">
        <f aca="false">COUNTIF(O3:O100,"x")</f>
        <v>4</v>
      </c>
      <c r="P101" s="15" t="n">
        <f aca="false">COUNTIF(P3:P100,"x")</f>
        <v>8</v>
      </c>
      <c r="Q101" s="15" t="n">
        <f aca="false">COUNTIF(Q3:Q100,"x")</f>
        <v>5</v>
      </c>
      <c r="R101" s="15" t="n">
        <f aca="false">COUNTIF(R3:R100,"x")</f>
        <v>2</v>
      </c>
      <c r="S101" s="15" t="n">
        <f aca="false">COUNTIF(S3:S100,"x")</f>
        <v>3</v>
      </c>
      <c r="T101" s="15" t="n">
        <f aca="false">COUNTIF(T3:T100,"x")</f>
        <v>4</v>
      </c>
      <c r="U101" s="15" t="n">
        <f aca="false">COUNTIF(U3:U100,"x")</f>
        <v>3</v>
      </c>
      <c r="V101" s="15" t="n">
        <f aca="false">COUNTIF(V3:V100,"x")</f>
        <v>9</v>
      </c>
      <c r="W101" s="15" t="n">
        <f aca="false">COUNTIF(W3:W100,"x")</f>
        <v>11</v>
      </c>
      <c r="X101" s="15" t="n">
        <f aca="false">COUNTIF(X3:X100,"x")</f>
        <v>7</v>
      </c>
      <c r="Y101" s="15" t="n">
        <f aca="false">COUNTIF(Y3:Y100,"x")</f>
        <v>6</v>
      </c>
      <c r="Z101" s="15" t="n">
        <f aca="false">COUNTIF(Z3:Z100,"x")</f>
        <v>4</v>
      </c>
      <c r="AA101" s="15" t="n">
        <f aca="false">COUNTIF(AA3:AA100,"x")</f>
        <v>4</v>
      </c>
      <c r="AB101" s="15" t="n">
        <f aca="false">COUNTIF(AB3:AB100,"x")</f>
        <v>6</v>
      </c>
      <c r="AC101" s="15" t="n">
        <f aca="false">COUNTIF(AC3:AC100,"x")</f>
        <v>1</v>
      </c>
      <c r="AD101" s="15" t="n">
        <f aca="false">COUNTIF(AD3:AD100,"x")</f>
        <v>4</v>
      </c>
      <c r="AE101" s="15" t="n">
        <f aca="false">COUNTIF(AE3:AE100,"x")</f>
        <v>5</v>
      </c>
      <c r="AF101" s="15" t="n">
        <f aca="false">COUNTIF(AF3:AF100,"x")</f>
        <v>2</v>
      </c>
      <c r="AG101" s="15" t="n">
        <f aca="false">COUNTIF(AG3:AG100,"x")</f>
        <v>3</v>
      </c>
      <c r="AH101" s="15" t="n">
        <f aca="false">COUNTIF(AH3:AH100,"x")</f>
        <v>10</v>
      </c>
      <c r="AI101" s="15" t="n">
        <f aca="false">COUNTIF(AI3:AI100,"x")</f>
        <v>7</v>
      </c>
      <c r="AJ101" s="15" t="n">
        <f aca="false">COUNTIF(AJ3:AJ100,"x")</f>
        <v>1</v>
      </c>
      <c r="AK101" s="15" t="n">
        <f aca="false">COUNTIF(AK3:AK100,"x")</f>
        <v>1</v>
      </c>
      <c r="AL101" s="15" t="n">
        <f aca="false">SUM(AL3:AL100)</f>
        <v>163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2026-10-22T17:44:19Z</dcterms:created>
  <dc:creator>openpyxl</dc:creator>
  <dc:description/>
  <dc:language>en-US</dc:language>
  <cp:lastModifiedBy/>
  <dcterms:modified xsi:type="dcterms:W3CDTF">2026-10-22T17:44:19Z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